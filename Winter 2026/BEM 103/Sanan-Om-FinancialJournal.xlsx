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omsanan/Downloads/Caltech_Freshman_Classes/Winter 2025/BEM 103/"/>
    </mc:Choice>
  </mc:AlternateContent>
  <xr:revisionPtr revIDLastSave="0" documentId="13_ncr:1_{E9007126-2289-1C44-84EE-DABCFA786D87}" xr6:coauthVersionLast="47" xr6:coauthVersionMax="47" xr10:uidLastSave="{00000000-0000-0000-0000-000000000000}"/>
  <bookViews>
    <workbookView xWindow="0" yWindow="680" windowWidth="30240" windowHeight="17960" activeTab="8" xr2:uid="{E065798A-0673-480A-8266-53BC37918278}"/>
  </bookViews>
  <sheets>
    <sheet name="Week1" sheetId="1" r:id="rId1"/>
    <sheet name="Week2" sheetId="2" r:id="rId2"/>
    <sheet name="Week3" sheetId="4" r:id="rId3"/>
    <sheet name="Week4" sheetId="5" r:id="rId4"/>
    <sheet name="Week5" sheetId="7" r:id="rId5"/>
    <sheet name="Week6" sheetId="8" r:id="rId6"/>
    <sheet name="Week7" sheetId="9" r:id="rId7"/>
    <sheet name="Week8" sheetId="10" r:id="rId8"/>
    <sheet name="Summary" sheetId="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3" l="1"/>
  <c r="M25" i="3"/>
  <c r="M22" i="3"/>
  <c r="M18" i="3"/>
  <c r="C23" i="3"/>
  <c r="D22" i="3"/>
  <c r="D21" i="3"/>
  <c r="D49" i="3"/>
  <c r="C49" i="3"/>
  <c r="C22" i="3"/>
  <c r="D48" i="3"/>
  <c r="E48" i="3"/>
  <c r="F48" i="3"/>
  <c r="G48" i="3"/>
  <c r="H48" i="3"/>
  <c r="I48" i="3"/>
  <c r="J48" i="3"/>
  <c r="C48" i="3"/>
  <c r="D20" i="3"/>
  <c r="C20" i="3"/>
  <c r="C19" i="3"/>
  <c r="D45" i="3"/>
  <c r="C45" i="3"/>
  <c r="D18" i="3"/>
  <c r="C18" i="3"/>
  <c r="I36" i="3"/>
  <c r="H36" i="3"/>
  <c r="D42" i="3"/>
  <c r="D15" i="3"/>
  <c r="C42" i="3"/>
  <c r="C15" i="3"/>
  <c r="E15" i="3"/>
  <c r="D16" i="3"/>
  <c r="D43" i="3"/>
  <c r="C43" i="3"/>
  <c r="D38" i="3"/>
  <c r="C38" i="3"/>
  <c r="D11" i="3"/>
  <c r="C11" i="3"/>
  <c r="C40" i="3"/>
  <c r="D40" i="3"/>
  <c r="B40" i="3"/>
  <c r="I32" i="3"/>
  <c r="D32" i="3"/>
  <c r="D31" i="3"/>
  <c r="E31" i="3"/>
  <c r="F31" i="3"/>
  <c r="G31" i="3"/>
  <c r="H31" i="3"/>
  <c r="I31" i="3"/>
  <c r="J31" i="3"/>
  <c r="C31" i="3"/>
  <c r="D30" i="3"/>
  <c r="E30" i="3"/>
  <c r="F30" i="3"/>
  <c r="G30" i="3"/>
  <c r="H30" i="3"/>
  <c r="I30" i="3"/>
  <c r="J30" i="3"/>
  <c r="C30" i="3"/>
  <c r="B30" i="3"/>
  <c r="B3" i="3"/>
  <c r="K30" i="10" a="1"/>
  <c r="K30" i="10" l="1"/>
  <c r="M34" i="8"/>
  <c r="M30" i="8"/>
  <c r="M31" i="8"/>
  <c r="M32" i="8"/>
  <c r="M33" i="8"/>
  <c r="M29" i="8"/>
  <c r="L30" i="10" a="1"/>
  <c r="L32" i="9" a="1"/>
  <c r="K37" i="8" a="1"/>
  <c r="L30" i="10" l="1"/>
  <c r="L32" i="9"/>
  <c r="L34" i="9" s="1"/>
  <c r="J36" i="3" s="1"/>
  <c r="K37" i="8"/>
  <c r="K38" i="8" a="1"/>
  <c r="L38" i="9" l="1"/>
  <c r="L37" i="9"/>
  <c r="K38" i="8"/>
  <c r="K39" i="8" a="1"/>
  <c r="K39" i="8"/>
  <c r="L41" i="8" a="1"/>
  <c r="L41" i="8"/>
  <c r="L40" i="8" a="1"/>
  <c r="L40" i="8"/>
  <c r="L39" i="8" a="1"/>
  <c r="L39" i="8"/>
  <c r="L38" i="8" a="1"/>
  <c r="L38" i="8"/>
  <c r="L37" i="8" a="1"/>
  <c r="L42" i="7" a="1"/>
  <c r="L37" i="8" l="1"/>
  <c r="L43" i="8" s="1"/>
  <c r="L42" i="7"/>
  <c r="L41" i="7" a="1"/>
  <c r="L41" i="7" l="1"/>
  <c r="L40" i="7" a="1"/>
  <c r="L40" i="7"/>
  <c r="L39" i="7" a="1"/>
  <c r="L39" i="7"/>
  <c r="I19" i="7"/>
  <c r="L38" i="7" a="1"/>
  <c r="K38" i="7" a="1"/>
  <c r="L38" i="7" l="1"/>
  <c r="L44" i="7"/>
  <c r="K38" i="7"/>
  <c r="L30" i="5" a="1"/>
  <c r="L33" i="5" a="1"/>
  <c r="L30" i="5" l="1"/>
  <c r="L33" i="5"/>
  <c r="L32" i="5" a="1"/>
  <c r="L32" i="5"/>
  <c r="L31" i="5" a="1"/>
  <c r="L35" i="4" a="1"/>
  <c r="L31" i="5" l="1"/>
  <c r="L35" i="4"/>
  <c r="L36" i="4" a="1"/>
  <c r="L36" i="4"/>
  <c r="L37" i="4" a="1"/>
  <c r="L37" i="4"/>
  <c r="L38" i="4" a="1"/>
  <c r="L38" i="4"/>
  <c r="L39" i="4" a="1"/>
  <c r="L39" i="4"/>
  <c r="L42" i="2" l="1"/>
  <c r="L41" i="2"/>
  <c r="L34" i="2"/>
  <c r="L33" i="2"/>
  <c r="K41" i="1"/>
  <c r="K40" i="1"/>
  <c r="K35" i="1"/>
  <c r="J41" i="1"/>
  <c r="J40" i="1"/>
  <c r="J35" i="1"/>
  <c r="K38" i="9"/>
  <c r="K37" i="9"/>
  <c r="K34" i="9"/>
  <c r="J34" i="9"/>
  <c r="K40" i="7" a="1"/>
  <c r="K40" i="8" a="1"/>
  <c r="K41" i="8" a="1"/>
  <c r="K39" i="7" a="1"/>
  <c r="K41" i="7" a="1"/>
  <c r="K42" i="7" a="1"/>
  <c r="D24" i="10" l="1"/>
  <c r="K40" i="8"/>
  <c r="K41" i="8"/>
  <c r="K40" i="7"/>
  <c r="K42" i="7"/>
  <c r="K41" i="7"/>
  <c r="K39" i="7"/>
  <c r="K47" i="4"/>
  <c r="K42" i="2"/>
  <c r="K41" i="2"/>
  <c r="K34" i="2"/>
  <c r="K33" i="2"/>
  <c r="K35" i="9"/>
  <c r="L35" i="9"/>
  <c r="J35" i="9"/>
  <c r="C26" i="9"/>
  <c r="K19" i="8"/>
  <c r="J19" i="8"/>
  <c r="J42" i="4"/>
  <c r="K42" i="4"/>
  <c r="L42" i="4"/>
  <c r="J38" i="8" a="1"/>
  <c r="J39" i="4" a="1"/>
  <c r="J39" i="7" a="1"/>
  <c r="J42" i="7" a="1"/>
  <c r="J33" i="5" a="1"/>
  <c r="J41" i="7" a="1"/>
  <c r="J41" i="8" a="1"/>
  <c r="J32" i="5" a="1"/>
  <c r="J37" i="4" a="1"/>
  <c r="J40" i="8" a="1"/>
  <c r="J39" i="8" a="1"/>
  <c r="J40" i="7" a="1"/>
  <c r="J38" i="4" a="1"/>
  <c r="J37" i="8" a="1"/>
  <c r="J30" i="5" a="1"/>
  <c r="J38" i="7" a="1"/>
  <c r="J31" i="5" a="1"/>
  <c r="J36" i="4" a="1"/>
  <c r="J35" i="4" a="1"/>
  <c r="K32" i="10" l="1"/>
  <c r="I37" i="3" s="1"/>
  <c r="L32" i="10"/>
  <c r="L33" i="10"/>
  <c r="K33" i="10"/>
  <c r="K43" i="8"/>
  <c r="L47" i="8" s="1"/>
  <c r="K44" i="7"/>
  <c r="J39" i="8"/>
  <c r="J41" i="8"/>
  <c r="J40" i="8"/>
  <c r="J38" i="8"/>
  <c r="J37" i="8"/>
  <c r="J42" i="7"/>
  <c r="J41" i="7"/>
  <c r="J40" i="7"/>
  <c r="J39" i="7"/>
  <c r="J38" i="7"/>
  <c r="J33" i="5"/>
  <c r="J32" i="5"/>
  <c r="J31" i="5"/>
  <c r="J30" i="5"/>
  <c r="J39" i="4"/>
  <c r="J38" i="4"/>
  <c r="J37" i="4"/>
  <c r="J36" i="4"/>
  <c r="J35" i="4"/>
  <c r="G42" i="2"/>
  <c r="H42" i="2"/>
  <c r="I42" i="2"/>
  <c r="F42" i="2"/>
  <c r="G41" i="2"/>
  <c r="I41" i="2"/>
  <c r="F41" i="2"/>
  <c r="J34" i="2"/>
  <c r="J33" i="2"/>
  <c r="J42" i="2" s="1"/>
  <c r="I41" i="1"/>
  <c r="I40" i="1"/>
  <c r="I35" i="1"/>
  <c r="J29" i="8"/>
  <c r="J30" i="8"/>
  <c r="J31" i="8"/>
  <c r="J32" i="8"/>
  <c r="J33" i="8"/>
  <c r="I44" i="8"/>
  <c r="E27" i="8"/>
  <c r="E28" i="7"/>
  <c r="I18" i="7"/>
  <c r="I21" i="7"/>
  <c r="J21" i="7"/>
  <c r="H41" i="1"/>
  <c r="H40" i="1"/>
  <c r="H35" i="1"/>
  <c r="I33" i="2"/>
  <c r="H33" i="2"/>
  <c r="I42" i="4"/>
  <c r="H19" i="7"/>
  <c r="M27" i="4"/>
  <c r="H42" i="4"/>
  <c r="G42" i="4"/>
  <c r="H34" i="2"/>
  <c r="I34" i="2" s="1"/>
  <c r="G33" i="2"/>
  <c r="H41" i="2" s="1"/>
  <c r="G41" i="1"/>
  <c r="G40" i="1"/>
  <c r="G35" i="1"/>
  <c r="C32" i="5" a="1"/>
  <c r="C32" i="5" s="1"/>
  <c r="M24" i="5" s="1"/>
  <c r="C33" i="5" a="1"/>
  <c r="C33" i="5" s="1"/>
  <c r="M25" i="5" s="1"/>
  <c r="C31" i="5" a="1"/>
  <c r="C31" i="5" s="1"/>
  <c r="M23" i="5" s="1"/>
  <c r="C30" i="5" a="1"/>
  <c r="C30" i="5" s="1"/>
  <c r="F41" i="1"/>
  <c r="F40" i="1"/>
  <c r="D41" i="1"/>
  <c r="E41" i="1"/>
  <c r="F35" i="1"/>
  <c r="G34" i="2"/>
  <c r="F41" i="4"/>
  <c r="F42" i="4" s="1"/>
  <c r="M28" i="4"/>
  <c r="M29" i="4"/>
  <c r="M30" i="4"/>
  <c r="M31" i="4"/>
  <c r="C36" i="4" a="1"/>
  <c r="C36" i="4" s="1"/>
  <c r="C37" i="4" a="1"/>
  <c r="C37" i="4" s="1"/>
  <c r="C38" i="4" a="1"/>
  <c r="C38" i="4" s="1"/>
  <c r="C39" i="4" a="1"/>
  <c r="C39" i="4" s="1"/>
  <c r="C35" i="4" a="1"/>
  <c r="C35" i="4" s="1"/>
  <c r="E40" i="1"/>
  <c r="D40" i="1"/>
  <c r="J21" i="3"/>
  <c r="I21" i="3"/>
  <c r="H21" i="3"/>
  <c r="G21" i="3"/>
  <c r="F21" i="3"/>
  <c r="E21" i="3"/>
  <c r="C21" i="3"/>
  <c r="J10" i="3"/>
  <c r="K11" i="10"/>
  <c r="H9" i="3"/>
  <c r="I9" i="3"/>
  <c r="J9" i="3"/>
  <c r="G8" i="3"/>
  <c r="H8" i="3"/>
  <c r="I8" i="3"/>
  <c r="J8" i="3"/>
  <c r="I19" i="8"/>
  <c r="F7" i="3"/>
  <c r="G7" i="3"/>
  <c r="H7" i="3"/>
  <c r="I7" i="3"/>
  <c r="J7" i="3"/>
  <c r="L19" i="7"/>
  <c r="K19" i="7"/>
  <c r="J19" i="7"/>
  <c r="F4" i="3"/>
  <c r="G4" i="3"/>
  <c r="B1" i="3"/>
  <c r="B13" i="3"/>
  <c r="C3" i="3"/>
  <c r="D3" i="3"/>
  <c r="E3" i="3"/>
  <c r="F3" i="3"/>
  <c r="G3" i="3"/>
  <c r="H3" i="3"/>
  <c r="I3" i="3"/>
  <c r="J3" i="3"/>
  <c r="L10" i="10"/>
  <c r="K10" i="10"/>
  <c r="I10" i="3" s="1"/>
  <c r="L19" i="9"/>
  <c r="K19" i="9"/>
  <c r="J11" i="9"/>
  <c r="K11" i="9" s="1"/>
  <c r="L11" i="9" s="1"/>
  <c r="L10" i="9"/>
  <c r="J10" i="9"/>
  <c r="K10" i="9"/>
  <c r="L17" i="8"/>
  <c r="K17" i="8"/>
  <c r="J17" i="8"/>
  <c r="I17" i="8"/>
  <c r="C10" i="8" s="1"/>
  <c r="E3" i="8"/>
  <c r="E3" i="7"/>
  <c r="L17" i="7"/>
  <c r="K17" i="7"/>
  <c r="J17" i="7"/>
  <c r="I17" i="7"/>
  <c r="H17" i="7"/>
  <c r="C10" i="7" s="1"/>
  <c r="L8" i="5"/>
  <c r="J6" i="3" s="1"/>
  <c r="K8" i="5"/>
  <c r="J8" i="5"/>
  <c r="I8" i="5"/>
  <c r="H8" i="5"/>
  <c r="F6" i="3" s="1"/>
  <c r="G5" i="5"/>
  <c r="G8" i="5" s="1"/>
  <c r="G6" i="5"/>
  <c r="L10" i="2"/>
  <c r="J4" i="3" s="1"/>
  <c r="K10" i="2"/>
  <c r="I4" i="3" s="1"/>
  <c r="J10" i="2"/>
  <c r="H4" i="3" s="1"/>
  <c r="I10" i="2"/>
  <c r="H10" i="2"/>
  <c r="G10" i="2"/>
  <c r="E4" i="3" s="1"/>
  <c r="F10" i="2"/>
  <c r="D4" i="3" s="1"/>
  <c r="E10" i="2"/>
  <c r="C4" i="3" s="1"/>
  <c r="L9" i="4"/>
  <c r="L12" i="4" s="1"/>
  <c r="J5" i="3" s="1"/>
  <c r="K9" i="4"/>
  <c r="K12" i="4" s="1"/>
  <c r="I5" i="3" s="1"/>
  <c r="J9" i="4"/>
  <c r="J12" i="4" s="1"/>
  <c r="H5" i="3" s="1"/>
  <c r="I9" i="4"/>
  <c r="I12" i="4" s="1"/>
  <c r="G5" i="3" s="1"/>
  <c r="H9" i="4"/>
  <c r="H12" i="4" s="1"/>
  <c r="F5" i="3" s="1"/>
  <c r="G9" i="4"/>
  <c r="F9" i="4"/>
  <c r="F12" i="4" s="1"/>
  <c r="D5" i="3" s="1"/>
  <c r="E13" i="4"/>
  <c r="K18" i="1"/>
  <c r="J18" i="1"/>
  <c r="I18" i="1"/>
  <c r="H18" i="1"/>
  <c r="G18" i="1"/>
  <c r="F18" i="1"/>
  <c r="E18" i="1"/>
  <c r="K17" i="1"/>
  <c r="J17" i="1"/>
  <c r="I17" i="1"/>
  <c r="H17" i="1"/>
  <c r="G17" i="1"/>
  <c r="F17" i="1"/>
  <c r="E17" i="1"/>
  <c r="D18" i="1"/>
  <c r="K12" i="1"/>
  <c r="J12" i="1"/>
  <c r="I12" i="1"/>
  <c r="D17" i="1"/>
  <c r="I37" i="4" a="1"/>
  <c r="H41" i="7" a="1"/>
  <c r="G39" i="4" a="1"/>
  <c r="H35" i="4" a="1"/>
  <c r="I38" i="8" a="1"/>
  <c r="I33" i="5" a="1"/>
  <c r="H33" i="5" a="1"/>
  <c r="I31" i="5" a="1"/>
  <c r="I40" i="8" a="1"/>
  <c r="G35" i="4" a="1"/>
  <c r="H36" i="4" a="1"/>
  <c r="G36" i="4" a="1"/>
  <c r="I38" i="7" a="1"/>
  <c r="H38" i="7" a="1"/>
  <c r="I39" i="7" a="1"/>
  <c r="G37" i="4" a="1"/>
  <c r="I37" i="8" a="1"/>
  <c r="H37" i="4" a="1"/>
  <c r="I38" i="4" a="1"/>
  <c r="G33" i="5" a="1"/>
  <c r="I35" i="4" a="1"/>
  <c r="I30" i="5" a="1"/>
  <c r="I41" i="7" a="1"/>
  <c r="I42" i="7" a="1"/>
  <c r="H30" i="5" a="1"/>
  <c r="I41" i="8" a="1"/>
  <c r="H39" i="4" a="1"/>
  <c r="I39" i="4" a="1"/>
  <c r="H40" i="7" a="1"/>
  <c r="I40" i="7" a="1"/>
  <c r="H39" i="7" a="1"/>
  <c r="H32" i="5" a="1"/>
  <c r="H38" i="4" a="1"/>
  <c r="K32" i="5" a="1"/>
  <c r="H42" i="7" a="1"/>
  <c r="G31" i="5" a="1"/>
  <c r="K31" i="5" a="1"/>
  <c r="G32" i="5" a="1"/>
  <c r="I36" i="4" a="1"/>
  <c r="I39" i="8" a="1"/>
  <c r="H31" i="5" a="1"/>
  <c r="I32" i="5" a="1"/>
  <c r="G30" i="5" a="1"/>
  <c r="K30" i="5" a="1"/>
  <c r="K33" i="5" a="1"/>
  <c r="G38" i="4" a="1"/>
  <c r="L35" i="10" l="1"/>
  <c r="L36" i="10" s="1"/>
  <c r="J37" i="3"/>
  <c r="L48" i="7"/>
  <c r="K16" i="5"/>
  <c r="I16" i="5"/>
  <c r="J41" i="2"/>
  <c r="J43" i="8"/>
  <c r="K47" i="8" s="1"/>
  <c r="J44" i="7"/>
  <c r="E11" i="2"/>
  <c r="F11" i="2" s="1"/>
  <c r="G11" i="2" s="1"/>
  <c r="J34" i="8"/>
  <c r="I40" i="8"/>
  <c r="I41" i="8"/>
  <c r="I39" i="8"/>
  <c r="I38" i="8"/>
  <c r="I37" i="8"/>
  <c r="I42" i="7"/>
  <c r="I40" i="7"/>
  <c r="I41" i="7"/>
  <c r="I39" i="7"/>
  <c r="I38" i="7"/>
  <c r="K32" i="7"/>
  <c r="K33" i="7"/>
  <c r="K31" i="7"/>
  <c r="K30" i="7"/>
  <c r="K34" i="7"/>
  <c r="H42" i="7"/>
  <c r="H40" i="7"/>
  <c r="H41" i="7"/>
  <c r="H39" i="7"/>
  <c r="H38" i="7"/>
  <c r="H32" i="5"/>
  <c r="H31" i="5"/>
  <c r="I30" i="5"/>
  <c r="K32" i="5"/>
  <c r="K31" i="5"/>
  <c r="K30" i="5"/>
  <c r="G33" i="5"/>
  <c r="G32" i="5"/>
  <c r="G30" i="5"/>
  <c r="I32" i="5"/>
  <c r="G31" i="5"/>
  <c r="H30" i="5"/>
  <c r="I31" i="5"/>
  <c r="K33" i="5"/>
  <c r="H33" i="5"/>
  <c r="I33" i="5"/>
  <c r="I38" i="4"/>
  <c r="I37" i="4"/>
  <c r="I39" i="4"/>
  <c r="I36" i="4"/>
  <c r="H39" i="4"/>
  <c r="H38" i="4"/>
  <c r="H37" i="4"/>
  <c r="H36" i="4"/>
  <c r="G38" i="4"/>
  <c r="G37" i="4"/>
  <c r="G39" i="4"/>
  <c r="G36" i="4"/>
  <c r="I35" i="4"/>
  <c r="H35" i="4"/>
  <c r="G35" i="4"/>
  <c r="E6" i="3"/>
  <c r="G9" i="5"/>
  <c r="H9" i="5" s="1"/>
  <c r="I9" i="5" s="1"/>
  <c r="J9" i="5" s="1"/>
  <c r="K9" i="5" s="1"/>
  <c r="L9" i="5" s="1"/>
  <c r="G6" i="3"/>
  <c r="G13" i="3" s="1"/>
  <c r="I6" i="3"/>
  <c r="I13" i="3" s="1"/>
  <c r="J16" i="5"/>
  <c r="H6" i="3"/>
  <c r="H13" i="3" s="1"/>
  <c r="L16" i="5"/>
  <c r="J13" i="3"/>
  <c r="C13" i="3"/>
  <c r="D13" i="3"/>
  <c r="F13" i="3"/>
  <c r="B11" i="3"/>
  <c r="H17" i="5"/>
  <c r="K17" i="5"/>
  <c r="K18" i="10"/>
  <c r="L11" i="10"/>
  <c r="L18" i="10"/>
  <c r="K19" i="10"/>
  <c r="L19" i="10"/>
  <c r="K18" i="9"/>
  <c r="L18" i="9"/>
  <c r="L17" i="5"/>
  <c r="I17" i="5"/>
  <c r="J17" i="5"/>
  <c r="H16" i="5"/>
  <c r="G12" i="4"/>
  <c r="F13" i="4"/>
  <c r="G13" i="4" s="1"/>
  <c r="H13" i="4" s="1"/>
  <c r="I13" i="4" s="1"/>
  <c r="J13" i="4" s="1"/>
  <c r="K13" i="4" s="1"/>
  <c r="L13" i="4" s="1"/>
  <c r="I21" i="4"/>
  <c r="J21" i="4"/>
  <c r="K21" i="4"/>
  <c r="L21" i="4"/>
  <c r="H21" i="4"/>
  <c r="I20" i="4"/>
  <c r="J20" i="4"/>
  <c r="K20" i="4"/>
  <c r="L20" i="4"/>
  <c r="H12" i="1"/>
  <c r="G12" i="1"/>
  <c r="F12" i="1"/>
  <c r="F19" i="2"/>
  <c r="E12" i="1"/>
  <c r="H11" i="2"/>
  <c r="I11" i="2" s="1"/>
  <c r="J11" i="2" s="1"/>
  <c r="K11" i="2" s="1"/>
  <c r="L11" i="2" s="1"/>
  <c r="D12" i="1"/>
  <c r="C13" i="1"/>
  <c r="D13" i="1" s="1"/>
  <c r="E13" i="1" s="1"/>
  <c r="F13" i="1" s="1"/>
  <c r="K48" i="7" l="1"/>
  <c r="I43" i="8"/>
  <c r="H44" i="7"/>
  <c r="I44" i="7"/>
  <c r="M22" i="5"/>
  <c r="H36" i="5"/>
  <c r="F33" i="3" s="1"/>
  <c r="G36" i="5"/>
  <c r="I36" i="5"/>
  <c r="G33" i="3" s="1"/>
  <c r="K36" i="5"/>
  <c r="I33" i="3" s="1"/>
  <c r="J36" i="5"/>
  <c r="H33" i="3" s="1"/>
  <c r="L36" i="5"/>
  <c r="J33" i="3" s="1"/>
  <c r="G41" i="4"/>
  <c r="E32" i="3" s="1"/>
  <c r="H41" i="4"/>
  <c r="K41" i="4"/>
  <c r="L41" i="4"/>
  <c r="J32" i="3" s="1"/>
  <c r="I41" i="4"/>
  <c r="G32" i="3" s="1"/>
  <c r="J41" i="4"/>
  <c r="G21" i="4"/>
  <c r="E5" i="3"/>
  <c r="E13" i="3" s="1"/>
  <c r="C16" i="3"/>
  <c r="J21" i="8"/>
  <c r="J18" i="8"/>
  <c r="I22" i="7"/>
  <c r="G20" i="4"/>
  <c r="H20" i="4"/>
  <c r="L19" i="2"/>
  <c r="L18" i="2"/>
  <c r="G18" i="2"/>
  <c r="G19" i="2"/>
  <c r="I18" i="2"/>
  <c r="I19" i="2"/>
  <c r="H18" i="2"/>
  <c r="H19" i="2"/>
  <c r="J18" i="2"/>
  <c r="J19" i="2"/>
  <c r="K19" i="2"/>
  <c r="K18" i="2"/>
  <c r="F18" i="2"/>
  <c r="G13" i="1"/>
  <c r="H13" i="1" s="1"/>
  <c r="I13" i="1" s="1"/>
  <c r="J13" i="1" s="1"/>
  <c r="K13" i="1" s="1"/>
  <c r="G37" i="5" l="1"/>
  <c r="H37" i="5" s="1"/>
  <c r="I37" i="5" s="1"/>
  <c r="J37" i="5" s="1"/>
  <c r="K37" i="5" s="1"/>
  <c r="L37" i="5" s="1"/>
  <c r="E33" i="3"/>
  <c r="E38" i="3" s="1"/>
  <c r="H47" i="4"/>
  <c r="F32" i="3"/>
  <c r="K46" i="4"/>
  <c r="H32" i="3"/>
  <c r="K48" i="8"/>
  <c r="L48" i="8"/>
  <c r="K49" i="7"/>
  <c r="L49" i="7"/>
  <c r="L42" i="5"/>
  <c r="L41" i="5"/>
  <c r="L47" i="4"/>
  <c r="L46" i="4"/>
  <c r="K42" i="5"/>
  <c r="K41" i="5"/>
  <c r="J42" i="5"/>
  <c r="J41" i="5"/>
  <c r="I42" i="5"/>
  <c r="I41" i="5"/>
  <c r="H42" i="5"/>
  <c r="H41" i="5"/>
  <c r="J48" i="7"/>
  <c r="C35" i="7"/>
  <c r="H46" i="7" s="1"/>
  <c r="F34" i="3" s="1"/>
  <c r="J49" i="7"/>
  <c r="C34" i="8"/>
  <c r="J48" i="8"/>
  <c r="J47" i="8"/>
  <c r="J47" i="4"/>
  <c r="J46" i="4"/>
  <c r="I49" i="7"/>
  <c r="I48" i="7"/>
  <c r="I47" i="4"/>
  <c r="I46" i="4"/>
  <c r="H46" i="4"/>
  <c r="G46" i="4"/>
  <c r="G47" i="4"/>
  <c r="E11" i="3"/>
  <c r="K18" i="8"/>
  <c r="K22" i="8" s="1"/>
  <c r="J22" i="8"/>
  <c r="K21" i="8"/>
  <c r="J18" i="7"/>
  <c r="J22" i="7" s="1"/>
  <c r="F40" i="3" l="1"/>
  <c r="E40" i="3"/>
  <c r="J44" i="8"/>
  <c r="J45" i="8" s="1"/>
  <c r="H35" i="3" s="1"/>
  <c r="I45" i="8"/>
  <c r="G35" i="3" s="1"/>
  <c r="I45" i="7"/>
  <c r="I46" i="7" s="1"/>
  <c r="G34" i="3" s="1"/>
  <c r="G40" i="3" s="1"/>
  <c r="H38" i="3" s="1"/>
  <c r="F11" i="3"/>
  <c r="F16" i="3" s="1"/>
  <c r="E16" i="3"/>
  <c r="E18" i="3" s="1"/>
  <c r="L18" i="8"/>
  <c r="L21" i="8"/>
  <c r="K18" i="7"/>
  <c r="K21" i="7"/>
  <c r="E43" i="3" l="1"/>
  <c r="E42" i="3" s="1"/>
  <c r="E45" i="3" s="1"/>
  <c r="G38" i="3"/>
  <c r="G43" i="3" s="1"/>
  <c r="F38" i="3"/>
  <c r="F43" i="3" s="1"/>
  <c r="F42" i="3" s="1"/>
  <c r="F45" i="3" s="1"/>
  <c r="F49" i="3" s="1"/>
  <c r="K44" i="8"/>
  <c r="J45" i="7"/>
  <c r="J46" i="7" s="1"/>
  <c r="H34" i="3" s="1"/>
  <c r="H40" i="3" s="1"/>
  <c r="E22" i="3"/>
  <c r="G11" i="3"/>
  <c r="G16" i="3" s="1"/>
  <c r="F15" i="3"/>
  <c r="L22" i="8"/>
  <c r="L19" i="8"/>
  <c r="L18" i="7"/>
  <c r="L22" i="7" s="1"/>
  <c r="K22" i="7"/>
  <c r="L21" i="7"/>
  <c r="E49" i="3" l="1"/>
  <c r="I38" i="3"/>
  <c r="J38" i="3" s="1"/>
  <c r="H43" i="3"/>
  <c r="G42" i="3"/>
  <c r="G45" i="3" s="1"/>
  <c r="G49" i="3" s="1"/>
  <c r="K45" i="8"/>
  <c r="I35" i="3" s="1"/>
  <c r="L44" i="8"/>
  <c r="L45" i="8" s="1"/>
  <c r="J35" i="3" s="1"/>
  <c r="K45" i="7"/>
  <c r="H11" i="3"/>
  <c r="H16" i="3" s="1"/>
  <c r="G15" i="3"/>
  <c r="G18" i="3" s="1"/>
  <c r="F18" i="3"/>
  <c r="H42" i="3" l="1"/>
  <c r="H45" i="3" s="1"/>
  <c r="H49" i="3" s="1"/>
  <c r="L45" i="7"/>
  <c r="L46" i="7" s="1"/>
  <c r="J34" i="3" s="1"/>
  <c r="J40" i="3" s="1"/>
  <c r="J43" i="3" s="1"/>
  <c r="K46" i="7"/>
  <c r="I34" i="3" s="1"/>
  <c r="I40" i="3" s="1"/>
  <c r="F22" i="3"/>
  <c r="G22" i="3"/>
  <c r="I11" i="3"/>
  <c r="I16" i="3" s="1"/>
  <c r="H15" i="3"/>
  <c r="I43" i="3" l="1"/>
  <c r="I42" i="3" s="1"/>
  <c r="I45" i="3" s="1"/>
  <c r="I49" i="3" s="1"/>
  <c r="C46" i="3"/>
  <c r="I46" i="3"/>
  <c r="I47" i="3" s="1"/>
  <c r="G46" i="3"/>
  <c r="D46" i="3"/>
  <c r="H46" i="3"/>
  <c r="H47" i="3" s="1"/>
  <c r="F46" i="3"/>
  <c r="E46" i="3"/>
  <c r="J46" i="3"/>
  <c r="H50" i="3"/>
  <c r="J42" i="3"/>
  <c r="J45" i="3" s="1"/>
  <c r="J49" i="3" s="1"/>
  <c r="J50" i="3" s="1"/>
  <c r="H18" i="3"/>
  <c r="J11" i="3"/>
  <c r="J16" i="3" s="1"/>
  <c r="I15" i="3"/>
  <c r="I18" i="3" s="1"/>
  <c r="E47" i="3" l="1"/>
  <c r="E50" i="3"/>
  <c r="G47" i="3"/>
  <c r="G50" i="3"/>
  <c r="M49" i="3"/>
  <c r="C47" i="3"/>
  <c r="C50" i="3"/>
  <c r="M45" i="3"/>
  <c r="J47" i="3"/>
  <c r="F47" i="3"/>
  <c r="F50" i="3"/>
  <c r="D47" i="3"/>
  <c r="D50" i="3"/>
  <c r="I50" i="3"/>
  <c r="H22" i="3"/>
  <c r="I22" i="3"/>
  <c r="J15" i="3"/>
  <c r="J18" i="3" s="1"/>
  <c r="J22" i="3" l="1"/>
  <c r="D19" i="3"/>
  <c r="D23" i="3" l="1"/>
  <c r="E19" i="3"/>
  <c r="F19" i="3" l="1"/>
  <c r="E20" i="3"/>
  <c r="E23" i="3"/>
  <c r="G19" i="3" l="1"/>
  <c r="F23" i="3"/>
  <c r="F20" i="3"/>
  <c r="H19" i="3" l="1"/>
  <c r="G23" i="3"/>
  <c r="G20" i="3"/>
  <c r="I19" i="3" l="1"/>
  <c r="H23" i="3"/>
  <c r="H20" i="3"/>
  <c r="J19" i="3" l="1"/>
  <c r="I20" i="3"/>
  <c r="I23" i="3"/>
  <c r="J23" i="3" l="1"/>
  <c r="J2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9"/>
        </ext>
      </extLst>
    </bk>
    <bk>
      <extLst>
        <ext uri="{3e2802c4-a4d2-4d8b-9148-e3be6c30e623}">
          <xlrd:rvb i="150"/>
        </ext>
      </extLst>
    </bk>
    <bk>
      <extLst>
        <ext uri="{3e2802c4-a4d2-4d8b-9148-e3be6c30e623}">
          <xlrd:rvb i="153"/>
        </ext>
      </extLst>
    </bk>
    <bk>
      <extLst>
        <ext uri="{3e2802c4-a4d2-4d8b-9148-e3be6c30e623}">
          <xlrd:rvb i="154"/>
        </ext>
      </extLst>
    </bk>
    <bk>
      <extLst>
        <ext uri="{3e2802c4-a4d2-4d8b-9148-e3be6c30e623}">
          <xlrd:rvb i="155"/>
        </ext>
      </extLst>
    </bk>
  </futureMetadata>
  <cellMetadata count="1">
    <bk>
      <rc t="1" v="0"/>
    </bk>
  </cellMetadata>
  <valueMetadata count="11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valueMetadata>
</metadata>
</file>

<file path=xl/sharedStrings.xml><?xml version="1.0" encoding="utf-8"?>
<sst xmlns="http://schemas.openxmlformats.org/spreadsheetml/2006/main" count="543" uniqueCount="124">
  <si>
    <t>Bond</t>
  </si>
  <si>
    <t>US Treasury 7-year</t>
  </si>
  <si>
    <t>Face Value</t>
  </si>
  <si>
    <t>Coupon Rate</t>
  </si>
  <si>
    <t>Maturity</t>
  </si>
  <si>
    <t>Source</t>
  </si>
  <si>
    <t>US7Y: 3.80% -0.006 (0.00%) (cnbc.com)</t>
  </si>
  <si>
    <t>Week 1</t>
  </si>
  <si>
    <t>Week 2</t>
  </si>
  <si>
    <t>Week 3</t>
  </si>
  <si>
    <t>Week 4</t>
  </si>
  <si>
    <t>Week 5</t>
  </si>
  <si>
    <t>Week 6</t>
  </si>
  <si>
    <t>Week 7</t>
  </si>
  <si>
    <t>Week 8</t>
  </si>
  <si>
    <t>Week 9</t>
  </si>
  <si>
    <t>Yield</t>
  </si>
  <si>
    <t>Price</t>
  </si>
  <si>
    <t>Units owned</t>
  </si>
  <si>
    <t>Owned Face Value</t>
  </si>
  <si>
    <t>Owned Market Value</t>
  </si>
  <si>
    <t>Leftover Cash</t>
  </si>
  <si>
    <t>Time recorded</t>
  </si>
  <si>
    <t>8:24 PM EST, Wednesday</t>
  </si>
  <si>
    <t>5:05 PM EST, Thursday</t>
  </si>
  <si>
    <t>6:47 PM EST, Thursday</t>
  </si>
  <si>
    <t>8:20 PM EST, Thursday</t>
  </si>
  <si>
    <t>2:10 PM EST, Friday</t>
  </si>
  <si>
    <t>6:39 PM EST, Thursday</t>
  </si>
  <si>
    <t>6:02 PM EST, Thursday</t>
  </si>
  <si>
    <t>Weekly profit/looss</t>
  </si>
  <si>
    <t>Cummulative Profit loss</t>
  </si>
  <si>
    <t>YOUR CHOICE</t>
  </si>
  <si>
    <t>I picked this bond because it's a Treasury bond of the US government with basically zero default risk and because it has a decent 3.56% yield with a slight discount. I also know that Treasury securities are very liquid and can be sold anytime before maturity.</t>
  </si>
  <si>
    <t>3-Year Treasury Note</t>
  </si>
  <si>
    <t>https://www.treasurydirect.gov/instit/annceresult/press/preanre/2026/R_20260112_2.pdf</t>
  </si>
  <si>
    <t>Stock</t>
  </si>
  <si>
    <t>Delta Air Lines Inc (DAL)</t>
  </si>
  <si>
    <t>Number of Shares Purchased</t>
  </si>
  <si>
    <t>Cash Leftover</t>
  </si>
  <si>
    <t>Stock 1</t>
  </si>
  <si>
    <t>Bank of America Corp (BAC)</t>
  </si>
  <si>
    <t>Stock 2</t>
  </si>
  <si>
    <t>Honda Motor Co Ltd (HMC)</t>
  </si>
  <si>
    <t>Stock 3</t>
  </si>
  <si>
    <t>Stock 4</t>
  </si>
  <si>
    <t>Stock 5</t>
  </si>
  <si>
    <t>YOUR CHOICE NO SHORT SALES</t>
  </si>
  <si>
    <t>Short Stock</t>
  </si>
  <si>
    <t>Nokia Corp (NOK)</t>
  </si>
  <si>
    <t>Long Stock</t>
  </si>
  <si>
    <t>United Airlines Holdings Inc (UAL)</t>
  </si>
  <si>
    <t>Shares sold</t>
  </si>
  <si>
    <t>Shares purchased</t>
  </si>
  <si>
    <t>short</t>
  </si>
  <si>
    <t>You must go short on at least one stock and long in at least up to three stocks, your net portfolio is still $10,000 (or less)</t>
  </si>
  <si>
    <t>Unlimited Liability</t>
  </si>
  <si>
    <t>Equity and debt</t>
  </si>
  <si>
    <t>Fed Interest Rate</t>
  </si>
  <si>
    <t>Weekly Interest Rate</t>
  </si>
  <si>
    <t>Walt Disney Co. (DIS)</t>
  </si>
  <si>
    <t>Sony Group Corp (SONY)</t>
  </si>
  <si>
    <t>Hershey Co. (HSY)</t>
  </si>
  <si>
    <t>Borrowed Money</t>
  </si>
  <si>
    <t>Portfolio value</t>
  </si>
  <si>
    <t>interest</t>
  </si>
  <si>
    <t>Liquidation value</t>
  </si>
  <si>
    <t>Your choice</t>
  </si>
  <si>
    <t>Limited liability</t>
  </si>
  <si>
    <t>NVIDIA Corp (NVDA)</t>
  </si>
  <si>
    <t>Johnson &amp; Johnson (JNJ)</t>
  </si>
  <si>
    <t>Target Corp (TGT)</t>
  </si>
  <si>
    <t>Return</t>
  </si>
  <si>
    <t>Commodity</t>
  </si>
  <si>
    <t>Platinum</t>
  </si>
  <si>
    <t>Units purchased</t>
  </si>
  <si>
    <t>Your Choice</t>
  </si>
  <si>
    <t>Mutual fund</t>
  </si>
  <si>
    <t>Vanguard Total Stock Market Index Fund Investor Shares (VTSMX)</t>
  </si>
  <si>
    <t>Shares Owned</t>
  </si>
  <si>
    <t>your choice</t>
  </si>
  <si>
    <t>Total investment</t>
  </si>
  <si>
    <t>Weekly profit or loss</t>
  </si>
  <si>
    <t>Total profit or Loss</t>
  </si>
  <si>
    <t>Weekly Rate of return</t>
  </si>
  <si>
    <t>Variance</t>
  </si>
  <si>
    <t>Mean porfolio value</t>
  </si>
  <si>
    <t>Mean absolute return</t>
  </si>
  <si>
    <t>fed cost of funds monthly</t>
  </si>
  <si>
    <t>Net return</t>
  </si>
  <si>
    <t>average net return</t>
  </si>
  <si>
    <t>total nest retrun</t>
  </si>
  <si>
    <t>Sharpe ratio</t>
  </si>
  <si>
    <t>YOUR RESULTS</t>
  </si>
  <si>
    <t>1/20/26 @ 12:31pm</t>
  </si>
  <si>
    <t>Palantir is a short term high risk investment in many ways. First, it's known to be volatile with very strong momentum especially in the AI sector. In addition, Palantir's Q4 earnings are released on Feb 2 which can drive the stock up.</t>
  </si>
  <si>
    <t xml:space="preserve">1/26/26 @ 10:17am </t>
  </si>
  <si>
    <t>1/20/2026 @ 12:05pm PST</t>
  </si>
  <si>
    <t>1/12/2026 @ 12:05pm PST</t>
  </si>
  <si>
    <t>1/26/2026 @ 10:20am PST</t>
  </si>
  <si>
    <t>Live Price</t>
  </si>
  <si>
    <t>Desired Split</t>
  </si>
  <si>
    <t>Num Shares</t>
  </si>
  <si>
    <t>Value</t>
  </si>
  <si>
    <t>Link</t>
  </si>
  <si>
    <t>Long Stock 1</t>
  </si>
  <si>
    <t>Long Stock 2</t>
  </si>
  <si>
    <t>Long Stock 3</t>
  </si>
  <si>
    <t>2/2/26 @ 10:37pm</t>
  </si>
  <si>
    <t>2/2/26 @ 10:32pm</t>
  </si>
  <si>
    <t>2/9/26 @ 8:51am</t>
  </si>
  <si>
    <t>2/9/26 @ 12:31pm</t>
  </si>
  <si>
    <t>2/17/26 @ 2:02pm</t>
  </si>
  <si>
    <t>2/24/26 @ 11:52am</t>
  </si>
  <si>
    <t>2/17/26 @ 8:14am</t>
  </si>
  <si>
    <t>2/24/26 @ 11:53am</t>
  </si>
  <si>
    <t>Capital</t>
  </si>
  <si>
    <t>https://www.google.com/finance/beta/quote/SIW00:COMEX?sa=X&amp;ved=2ahUKEwjMjrTMk_OSAxVWIUQIHdtlPUoQ3ecFegQIIxAT</t>
  </si>
  <si>
    <t>3/2/24 @ 10:49pm</t>
  </si>
  <si>
    <t>3/2/26 @ 10:47pm</t>
  </si>
  <si>
    <t>3/9/26 @ 5pm</t>
  </si>
  <si>
    <t>3/9/24 @ 3:30pm</t>
  </si>
  <si>
    <t>Portion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</si>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</sst>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164" formatCode="&quot;$&quot;#,##0.00"/>
    <numFmt numFmtId="165" formatCode="#,##0.0"/>
    <numFmt numFmtId="166" formatCode="&quot;$&quot;#,##0.0"/>
    <numFmt numFmtId="167" formatCode="0.000%"/>
    <numFmt numFmtId="168" formatCode="0.0000%"/>
    <numFmt numFmtId="169" formatCode="_([$$-409]* #,##0.00_);_([$$-409]* \(#,##0.00\);_([$$-409]* &quot;-&quot;??_);_(@_)"/>
    <numFmt numFmtId="170" formatCode="0.0%"/>
    <numFmt numFmtId="181" formatCode="0.00000000"/>
  </numFmts>
  <fonts count="4" x14ac:knownFonts="1">
    <font>
      <sz val="11"/>
      <color theme="1"/>
      <name val="Calibri"/>
      <family val="2"/>
      <scheme val="minor"/>
    </font>
    <font>
      <u/>
      <sz val="11"/>
      <color theme="10"/>
      <name val="Calibri"/>
      <family val="2"/>
      <scheme val="minor"/>
    </font>
    <font>
      <sz val="11"/>
      <color rgb="FF000000"/>
      <name val="Calibri"/>
      <family val="2"/>
      <scheme val="minor"/>
    </font>
    <font>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2CC"/>
        <bgColor rgb="FF000000"/>
      </patternFill>
    </fill>
  </fills>
  <borders count="1">
    <border>
      <left/>
      <right/>
      <top/>
      <bottom/>
      <diagonal/>
    </border>
  </borders>
  <cellStyleXfs count="4">
    <xf numFmtId="0" fontId="0" fillId="0" borderId="0"/>
    <xf numFmtId="0" fontId="1" fillId="0" borderId="0" applyNumberForma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0">
    <xf numFmtId="0" fontId="0" fillId="0" borderId="0" xfId="0"/>
    <xf numFmtId="10" fontId="0" fillId="0" borderId="0" xfId="0" applyNumberFormat="1"/>
    <xf numFmtId="14" fontId="0" fillId="0" borderId="0" xfId="0" applyNumberFormat="1"/>
    <xf numFmtId="0" fontId="1" fillId="0" borderId="0" xfId="1"/>
    <xf numFmtId="6" fontId="0" fillId="0" borderId="0" xfId="0" applyNumberFormat="1"/>
    <xf numFmtId="8" fontId="0" fillId="0" borderId="0" xfId="0" applyNumberFormat="1"/>
    <xf numFmtId="164" fontId="0" fillId="0" borderId="0" xfId="0" applyNumberFormat="1"/>
    <xf numFmtId="2" fontId="0" fillId="0" borderId="0" xfId="0" applyNumberFormat="1"/>
    <xf numFmtId="0" fontId="0" fillId="2" borderId="0" xfId="0" applyFill="1"/>
    <xf numFmtId="165" fontId="0" fillId="0" borderId="0" xfId="0" applyNumberFormat="1"/>
    <xf numFmtId="166" fontId="0" fillId="0" borderId="0" xfId="0" applyNumberFormat="1"/>
    <xf numFmtId="0" fontId="0" fillId="3" borderId="0" xfId="0" applyFill="1"/>
    <xf numFmtId="6" fontId="0" fillId="3" borderId="0" xfId="0" applyNumberFormat="1" applyFill="1"/>
    <xf numFmtId="10" fontId="0" fillId="3" borderId="0" xfId="0" applyNumberFormat="1" applyFill="1"/>
    <xf numFmtId="14" fontId="0" fillId="3" borderId="0" xfId="0" applyNumberFormat="1" applyFill="1"/>
    <xf numFmtId="0" fontId="1" fillId="3" borderId="0" xfId="1" applyFill="1"/>
    <xf numFmtId="8" fontId="0" fillId="3" borderId="0" xfId="0" applyNumberFormat="1" applyFill="1"/>
    <xf numFmtId="167" fontId="0" fillId="0" borderId="0" xfId="0" applyNumberFormat="1"/>
    <xf numFmtId="168" fontId="0" fillId="0" borderId="0" xfId="0" applyNumberFormat="1"/>
    <xf numFmtId="168" fontId="0" fillId="3" borderId="0" xfId="0" applyNumberFormat="1" applyFill="1"/>
    <xf numFmtId="16" fontId="0" fillId="3" borderId="0" xfId="0" applyNumberFormat="1" applyFill="1"/>
    <xf numFmtId="8" fontId="0" fillId="4" borderId="0" xfId="0" applyNumberFormat="1" applyFill="1"/>
    <xf numFmtId="0" fontId="2" fillId="5" borderId="0" xfId="0" applyFont="1" applyFill="1"/>
    <xf numFmtId="169" fontId="0" fillId="3" borderId="0" xfId="0" applyNumberFormat="1" applyFill="1"/>
    <xf numFmtId="0" fontId="2" fillId="0" borderId="0" xfId="0" applyFont="1"/>
    <xf numFmtId="9" fontId="0" fillId="3" borderId="0" xfId="0" applyNumberFormat="1" applyFill="1"/>
    <xf numFmtId="8" fontId="2" fillId="5" borderId="0" xfId="0" applyNumberFormat="1" applyFont="1" applyFill="1"/>
    <xf numFmtId="169" fontId="0" fillId="0" borderId="0" xfId="0" applyNumberFormat="1"/>
    <xf numFmtId="44" fontId="0" fillId="0" borderId="0" xfId="2" applyFont="1"/>
    <xf numFmtId="44" fontId="0" fillId="0" borderId="0" xfId="0" applyNumberFormat="1"/>
    <xf numFmtId="0" fontId="0" fillId="0" borderId="0" xfId="0" applyAlignment="1">
      <alignment horizontal="right"/>
    </xf>
    <xf numFmtId="0" fontId="0" fillId="3" borderId="0" xfId="0" applyFill="1" applyAlignment="1">
      <alignment horizontal="right"/>
    </xf>
    <xf numFmtId="44" fontId="0" fillId="3" borderId="0" xfId="0" applyNumberFormat="1" applyFill="1"/>
    <xf numFmtId="44" fontId="0" fillId="3" borderId="0" xfId="2" applyFont="1" applyFill="1"/>
    <xf numFmtId="6" fontId="1" fillId="3" borderId="0" xfId="1" applyNumberFormat="1" applyFill="1"/>
    <xf numFmtId="9" fontId="0" fillId="3" borderId="0" xfId="3" applyFont="1" applyFill="1"/>
    <xf numFmtId="170" fontId="0" fillId="3" borderId="0" xfId="3" applyNumberFormat="1" applyFont="1" applyFill="1"/>
    <xf numFmtId="10" fontId="0" fillId="3" borderId="0" xfId="3" applyNumberFormat="1" applyFont="1" applyFill="1"/>
    <xf numFmtId="167" fontId="0" fillId="3" borderId="0" xfId="3" applyNumberFormat="1" applyFont="1" applyFill="1"/>
    <xf numFmtId="181" fontId="0" fillId="3" borderId="0" xfId="3" applyNumberFormat="1" applyFont="1" applyFill="1"/>
  </cellXfs>
  <cellStyles count="4">
    <cellStyle name="Currency" xfId="2" builtinId="4"/>
    <cellStyle name="Hyperlink" xfId="1" builtinId="8"/>
    <cellStyle name="Normal" xfId="0" builtinId="0"/>
    <cellStyle name="Percent" xfId="3" builtinId="5"/>
  </cellStyles>
  <dxfs count="8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95">
  <a r="1">
    <v t="i">0</v>
  </a>
  <a r="1">
    <v>300.52999999999997</v>
  </a>
  <a r="1">
    <v>311.49</v>
  </a>
  <a r="1">
    <v>322.86</v>
  </a>
  <a r="1">
    <v>311.76</v>
  </a>
  <a r="1">
    <v>338</v>
  </a>
  <a r="1">
    <v>305.72000000000003</v>
  </a>
  <a r="1">
    <v>32.39</v>
  </a>
  <a r="1">
    <v>32.159999999999997</v>
  </a>
  <a r="1">
    <v>30.71</v>
  </a>
  <a r="1">
    <v>30.11</v>
  </a>
  <a r="1">
    <v>129.5</v>
  </a>
  <a r="1">
    <v>140.19</v>
  </a>
  <a r="1">
    <v>123.71</v>
  </a>
  <a r="1">
    <v>128.66999999999999</v>
  </a>
  <a r="1">
    <v>87.405000000000001</v>
  </a>
  <a r="1">
    <v>202.68</v>
  </a>
  <a r="1">
    <v>196.6</v>
  </a>
  <a r="1">
    <v>207.32</v>
  </a>
  <a r="1">
    <v>236.73</v>
  </a>
  <a r="1">
    <v>208.44</v>
  </a>
  <a r="1">
    <v>398.68</v>
  </a>
  <a r="1">
    <v>399.83</v>
  </a>
  <a r="1">
    <v>430.41</v>
  </a>
  <a r="1">
    <v>411.11</v>
  </a>
  <a r="1">
    <v>417.44</v>
  </a>
  <a r="1">
    <v>168.41</v>
  </a>
  <a r="1">
    <v>183.10499999999999</v>
  </a>
  <a r="1">
    <v>157.6</v>
  </a>
  <a r="1">
    <v>177.1</v>
  </a>
  <a r="1">
    <v>182.91</v>
  </a>
  <a r="1">
    <v>177.19</v>
  </a>
  <a r="1">
    <v>182.65</v>
  </a>
  <a r="1">
    <v>191.55</v>
  </a>
  <a r="1">
    <v>185.41</v>
  </a>
  <a r="1">
    <v>191.13</v>
  </a>
  <a r="1">
    <v>182.81</v>
  </a>
  <a r="1">
    <v>438.28</v>
  </a>
  <a r="1">
    <v>371.98</v>
  </a>
  <a r="1">
    <v>350.33</v>
  </a>
  <a r="1">
    <v>395.5</v>
  </a>
  <a r="1">
    <v>429.64</v>
  </a>
  <a r="1">
    <v>118.14</v>
  </a>
  <a r="1">
    <v>127.45</v>
  </a>
  <a r="1">
    <v>123.78</v>
  </a>
  <a r="1">
    <v>126.89</v>
  </a>
  <a r="1">
    <v>67.489999999999995</v>
  </a>
  <a r="1">
    <v>71.540000000000006</v>
  </a>
  <a r="1">
    <v>74.75</v>
  </a>
  <a r="1">
    <v>74.59</v>
  </a>
  <a r="1">
    <v>74.88</v>
  </a>
  <a r="1">
    <v>115.98</v>
  </a>
  <a r="1">
    <v>124.05</v>
  </a>
  <a r="1">
    <v>111.4</v>
  </a>
  <a r="1">
    <v>125.28</v>
  </a>
  <a r="1">
    <v>121.44</v>
  </a>
  <a r="1">
    <v>217.32</v>
  </a>
  <a r="1">
    <v>205.27</v>
  </a>
  <a r="1">
    <v>198.79</v>
  </a>
  <a r="1">
    <v>239.3</v>
  </a>
  <a r="1">
    <v>210</v>
  </a>
  <a r="1">
    <v>210.32</v>
  </a>
  <a r="1">
    <v>79.650000000000006</v>
  </a>
  <a r="1">
    <v>75.849999999999994</v>
  </a>
  <a r="1">
    <v>71.78</v>
  </a>
  <a r="1">
    <v>75.97</v>
  </a>
  <a r="1">
    <v>82.82</v>
  </a>
  <a r="1">
    <v>116.41</v>
  </a>
  <a r="1">
    <v>118.4</v>
  </a>
  <a r="1">
    <v>118.75</v>
  </a>
  <a r="1">
    <v>113.63</v>
  </a>
  <a r="1">
    <v>112.9</v>
  </a>
  <a r="1">
    <v>203.67</v>
  </a>
  <a r="1">
    <v>194.79</v>
  </a>
  <a r="1">
    <v>178.16</v>
  </a>
  <a r="1">
    <v>184.29</v>
  </a>
  <a r="1">
    <v>5.07</v>
  </a>
  <a r="1">
    <v>4.93</v>
  </a>
  <a r="1">
    <v>4.83</v>
  </a>
  <a r="1">
    <v>5.22</v>
  </a>
  <a r="1">
    <v>6.93</v>
  </a>
  <a r="1">
    <v>5.21</v>
  </a>
  <a r="1">
    <v>343.51</v>
  </a>
  <a r="1">
    <v>330.34</v>
  </a>
  <a r="1">
    <v>325.17</v>
  </a>
  <a r="1">
    <v>332.92</v>
  </a>
  <a r="1">
    <v>331.3</v>
  </a>
  <a r="1">
    <v>319.55</v>
  </a>
  <a r="1">
    <v>203.49</v>
  </a>
  <a r="1">
    <v>175.85</v>
  </a>
  <a r="1">
    <v>160.24</v>
  </a>
  <a r="1">
    <v>164.32</v>
  </a>
  <a r="1">
    <v>165.12</v>
  </a>
  <a r="1">
    <v>56.24</v>
  </a>
  <a r="1">
    <v>55.67</v>
  </a>
</arrayData>
</file>

<file path=xl/richData/rdrichvalue.xml><?xml version="1.0" encoding="utf-8"?>
<rvData xmlns="http://schemas.microsoft.com/office/spreadsheetml/2017/richdata" count="250">
  <rv s="0">
    <v>https://www.bing.com/financeapi/forcetrigger?t=bx3xjc&amp;q=XWBO%3aPLTR&amp;form=skydnc</v>
    <v>Learn more on Bing</v>
  </rv>
  <rv s="1">
    <v>0</v>
    <v>PALANTIR TECHNOLOGIES INC. (XWBO:PLTR)</v>
    <v>2</v>
    <v>3</v>
    <v>Finance</v>
    <v>4</v>
    <v>en-US</v>
    <v>bx3xjc</v>
    <v>268435456</v>
    <v>1</v>
    <v>Powered by Refinitiv</v>
    <v>1.7132000000000001</v>
    <v>-3.36</v>
    <v>-2.5278000000000002E-2</v>
    <v>EUR</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Wiener Boerse</v>
    <v>XWBO</v>
    <v>XWBO</v>
    <v>1200 17Th Street, Floor 15, DENVER, CO, 80202 US</v>
    <v>134.4</v>
    <v>Software &amp; IT Services</v>
    <v>Stock</v>
    <v>46091</v>
    <v>0</v>
    <v>129.56</v>
    <v>426359900000</v>
    <v>PALANTIR TECHNOLOGIES INC.</v>
    <v>PALANTIR TECHNOLOGIES INC.</v>
    <v>133.84</v>
    <v>239.92590000000001</v>
    <v>132.91999999999999</v>
    <v>129.56</v>
    <v>2390671000</v>
    <v>PLTR</v>
    <v>PALANTIR TECHNOLOGIES INC. (XWBO:PLTR)</v>
    <v>903</v>
    <v>57818790</v>
    <v>2003</v>
  </rv>
  <rv s="2">
    <v>1</v>
  </rv>
  <rv s="0">
    <v>https://www.bing.com/financeapi/forcetrigger?t=a1yv52&amp;q=XNAS%3aNVDA&amp;form=skydnc</v>
    <v>Learn more on Bing</v>
  </rv>
  <rv s="3">
    <v>5</v>
    <v>NVIDIA CORPORATION (XNAS:NVDA)</v>
    <v>2</v>
    <v>6</v>
    <v>Finance</v>
    <v>7</v>
    <v>en-US</v>
    <v>a1yv52</v>
    <v>268435456</v>
    <v>1</v>
    <v>Powered by Refinitiv</v>
    <v>212.18989999999999</v>
    <v>86.62</v>
    <v>2.3681999999999999</v>
    <v>2.12</v>
    <v>1.1607000000000001E-2</v>
    <v>0.23</v>
    <v>1.245E-3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186.44</v>
    <v>Semiconductors &amp; Semiconductor Equipment</v>
    <v>Stock</v>
    <v>46091.880225335153</v>
    <v>3</v>
    <v>182.01</v>
    <v>4489911000000</v>
    <v>NVIDIA CORPORATION</v>
    <v>NVIDIA CORPORATION</v>
    <v>182.4</v>
    <v>37.694299999999998</v>
    <v>182.65</v>
    <v>184.77</v>
    <v>185</v>
    <v>24300000000</v>
    <v>NVDA</v>
    <v>NVIDIA CORPORATION (XNAS:NVDA)</v>
    <v>178373179</v>
    <v>195015451</v>
    <v>1998</v>
  </rv>
  <rv s="2">
    <v>4</v>
  </rv>
  <rv s="0">
    <v>https://www.bing.com/financeapi/forcetrigger?t=c4s6z2&amp;q=XNAS%3aCRDO&amp;form=skydnc</v>
    <v>Learn more on Bing</v>
  </rv>
  <rv s="4">
    <v>8</v>
    <v>Credo Technology Group Holding Ltd (XNAS:CRDO)</v>
    <v>2</v>
    <v>9</v>
    <v>Finance</v>
    <v>7</v>
    <v>en-US</v>
    <v>c4s6z2</v>
    <v>268435456</v>
    <v>1</v>
    <v>Powered by Refinitiv</v>
    <v>213.8</v>
    <v>29.09</v>
    <v>2.6705999999999999</v>
    <v>-3.65</v>
    <v>-3.1470999999999999E-2</v>
    <v>-0.16</v>
    <v>-1.4239999999999999E-3</v>
    <v>USD</v>
    <v>Credo Technology Group Holding Ltd is a Cayman Islands-based holding company. The Company delivers high-speed solutions to break bandwidth barriers on every wired connection in the data infrastructure market. It provides high-speed connectivity solutions that deliver improved power efficiency as data rates and corresponding bandwidth requirements increase exponentially throughout the data infrastructure market. Its connectivity solutions are optimized for optical and electrical Ethernet applications, including the emerging 100 gigabits per second (G), 200G, 400G, 800G and the emerging 1.6 terabits per second (T) port markets. Its products are based on its Serializer/Deserializer (SerDes) and Digital Signal Processor (DSP) technologies. Its product families include integrated circuits (ICs) for the optical and line card markets, active electrical cables (AECs) and SerDes Chiplets. The Company’s intellectual property (IP) solutions consist primarily of SerDes IP licensing.</v>
    <v>622</v>
    <v>Nasdaq Stock Market</v>
    <v>XNAS</v>
    <v>XNAS</v>
    <v>C/O Maples Corporate Services, Limited, Po Box 309, Ugland House, GRAND CAYMAN, KY1-1104 KY</v>
    <v>116.18989999999999</v>
    <v>Semiconductors &amp; Semiconductor Equipment</v>
    <v>Stock</v>
    <v>46091.880173159378</v>
    <v>6</v>
    <v>111.49</v>
    <v>20719257267</v>
    <v>Credo Technology Group Holding Ltd</v>
    <v>Credo Technology Group Holding Ltd</v>
    <v>114.79</v>
    <v>98.1477</v>
    <v>115.98</v>
    <v>112.33</v>
    <v>112.17</v>
    <v>184449900</v>
    <v>CRDO</v>
    <v>Credo Technology Group Holding Ltd (XNAS:CRDO)</v>
    <v>5668029</v>
    <v>8188325</v>
  </rv>
  <rv s="2">
    <v>7</v>
  </rv>
  <rv s="0">
    <v>https://www.bing.com/financeapi/forcetrigger?t=a1ndww&amp;q=XNAS%3aAMD&amp;form=skydnc</v>
    <v>Learn more on Bing</v>
  </rv>
  <rv s="3">
    <v>5</v>
    <v>ADVANCED MICRO DEVICES, INC. (XNAS:AMD)</v>
    <v>2</v>
    <v>6</v>
    <v>Finance</v>
    <v>7</v>
    <v>en-US</v>
    <v>a1ndww</v>
    <v>268435456</v>
    <v>1</v>
    <v>Powered by Refinitiv</v>
    <v>267.07990000000001</v>
    <v>76.48</v>
    <v>2.0162</v>
    <v>0.55000000000000004</v>
    <v>2.7139999999999998E-3</v>
    <v>0.69499999999999995</v>
    <v>3.4200000000000003E-3</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31000</v>
    <v>Nasdaq Stock Market</v>
    <v>XNAS</v>
    <v>XNAS</v>
    <v>2485 Augustine Drive, SANTA CLARA, CA, 95054 US</v>
    <v>206.59</v>
    <v>Semiconductors &amp; Semiconductor Equipment</v>
    <v>Stock</v>
    <v>46091.880235647659</v>
    <v>9</v>
    <v>202.2</v>
    <v>331348427530</v>
    <v>ADVANCED MICRO DEVICES, INC.</v>
    <v>ADVANCED MICRO DEVICES, INC.</v>
    <v>202.51</v>
    <v>78.033299999999997</v>
    <v>202.68</v>
    <v>203.23</v>
    <v>203.92500000000001</v>
    <v>1630411000</v>
    <v>AMD</v>
    <v>ADVANCED MICRO DEVICES, INC. (XNAS:AMD)</v>
    <v>29038115</v>
    <v>41709123</v>
    <v>1969</v>
  </rv>
  <rv s="2">
    <v>10</v>
  </rv>
  <rv s="0">
    <v>https://www.bing.com/financeapi/forcetrigger?t=a1v6hw&amp;q=XNAS%3aIBKR&amp;form=skydnc</v>
    <v>Learn more on Bing</v>
  </rv>
  <rv s="3">
    <v>5</v>
    <v>INTERACTIVE BROKERS GROUP, INC. (XNAS:IBKR)</v>
    <v>2</v>
    <v>6</v>
    <v>Finance</v>
    <v>7</v>
    <v>en-US</v>
    <v>a1v6hw</v>
    <v>268435456</v>
    <v>1</v>
    <v>Powered by Refinitiv</v>
    <v>79.180000000000007</v>
    <v>32.82</v>
    <v>1.2615000000000001</v>
    <v>1.01</v>
    <v>1.4964999999999999E-2</v>
    <v>9.9400000000000002E-2</v>
    <v>1.451E-3</v>
    <v>USD</v>
    <v>Interactive Brokers Group, Inc. is an automated global electronic broker. The Company custodies and services accounts for hedge and mutual funds, exchange-traded funds (ETFs), registered investment advisors, proprietary trading groups, introducing brokers and individual investors. It specializes in routing orders and executing and processing trades in stocks, options, futures, foreign exchange instruments (forex), bonds, mutual funds, ETFs, precious metals, and forecast contracts on more than 160 electronic exchanges and market centers in 36 countries and 28 currencies around the world. In addition, its customers can use its trading platform to trade certain cryptocurrencies through third-party cryptocurrency service providers that execute, clear and custody the cryptocurrencies. Its trading platforms include IBKR Desktop, IBKR Trader Workstation, IBKR Mobile, IBKR Client Portal and others. Its key product offerings include IBKR Pro, IBKR Lite, and IBKR Universal Account.</v>
    <v>3182</v>
    <v>Nasdaq Stock Market</v>
    <v>XNAS</v>
    <v>XNAS</v>
    <v>1 Pickwick Plz, GREENWICH, CT, 06830 US</v>
    <v>69.984999999999999</v>
    <v>Investment Banking &amp; Investment Services</v>
    <v>Stock</v>
    <v>46091.878716053128</v>
    <v>12</v>
    <v>66.680000000000007</v>
    <v>116188124500</v>
    <v>INTERACTIVE BROKERS GROUP, INC.</v>
    <v>INTERACTIVE BROKERS GROUP, INC.</v>
    <v>67.680000000000007</v>
    <v>30.8156</v>
    <v>67.489999999999995</v>
    <v>68.5</v>
    <v>68.599400000000003</v>
    <v>1696177000</v>
    <v>IBKR</v>
    <v>INTERACTIVE BROKERS GROUP, INC. (XNAS:IBKR)</v>
    <v>4926849</v>
    <v>5029987</v>
    <v>2006</v>
  </rv>
  <rv s="2">
    <v>13</v>
  </rv>
  <rv s="0">
    <v>https://www.bing.com/financeapi/forcetrigger?t=a24kar&amp;q=XNAS%3aTSLA&amp;form=skydnc</v>
    <v>Learn more on Bing</v>
  </rv>
  <rv s="3">
    <v>5</v>
    <v>TESLA, INC. (XNAS:TSLA)</v>
    <v>2</v>
    <v>6</v>
    <v>Finance</v>
    <v>7</v>
    <v>en-US</v>
    <v>a24kar</v>
    <v>268435456</v>
    <v>1</v>
    <v>Powered by Refinitiv</v>
    <v>498.83</v>
    <v>214.25</v>
    <v>1.9229000000000001</v>
    <v>0.55500000000000005</v>
    <v>1.392E-3</v>
    <v>0.69499999999999995</v>
    <v>1.7410000000000001E-3</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406.59</v>
    <v>Automobiles &amp; Auto Parts</v>
    <v>Stock</v>
    <v>46091.880156631247</v>
    <v>15</v>
    <v>398.19</v>
    <v>1498102189520</v>
    <v>TESLA, INC.</v>
    <v>TESLA, INC.</v>
    <v>402.22</v>
    <v>371.24329999999998</v>
    <v>398.68</v>
    <v>399.23500000000001</v>
    <v>399.93</v>
    <v>3752432000</v>
    <v>TSLA</v>
    <v>TESLA, INC. (XNAS:TSLA)</v>
    <v>59090891</v>
    <v>59699929</v>
    <v>2024</v>
  </rv>
  <rv s="2">
    <v>16</v>
  </rv>
  <rv s="5">
    <fb>191.13</fb>
    <v>10</v>
  </rv>
  <rv s="5">
    <fb>185.41</fb>
    <v>10</v>
  </rv>
  <rv s="5">
    <fb>182.81</fb>
    <v>10</v>
  </rv>
  <rv s="5">
    <fb>191.55</fb>
    <v>10</v>
  </rv>
  <rv s="5">
    <fb>182.65</fb>
    <v>10</v>
  </rv>
  <rv s="5">
    <fb>125.28</fb>
    <v>10</v>
  </rv>
  <rv s="5">
    <fb>111.4</fb>
    <v>10</v>
  </rv>
  <rv s="5">
    <fb>121.44</fb>
    <v>10</v>
  </rv>
  <rv s="5">
    <fb>124.05</fb>
    <v>10</v>
  </rv>
  <rv s="5">
    <fb>115.98</fb>
    <v>10</v>
  </rv>
  <rv s="5">
    <fb>236.73</fb>
    <v>10</v>
  </rv>
  <rv s="5">
    <fb>208.44</fb>
    <v>10</v>
  </rv>
  <rv s="5">
    <fb>207.32</fb>
    <v>10</v>
  </rv>
  <rv s="5">
    <fb>196.6</fb>
    <v>10</v>
  </rv>
  <rv s="5">
    <fb>202.68</fb>
    <v>10</v>
  </rv>
  <rv s="5">
    <fb>74.88</fb>
    <v>10</v>
  </rv>
  <rv s="5">
    <fb>74.59</fb>
    <v>10</v>
  </rv>
  <rv s="5">
    <fb>74.75</fb>
    <v>10</v>
  </rv>
  <rv s="5">
    <fb>71.540000000000006</fb>
    <v>10</v>
  </rv>
  <rv s="5">
    <fb>67.489999999999995</fb>
    <v>10</v>
  </rv>
  <rv s="5">
    <fb>430.41</fb>
    <v>10</v>
  </rv>
  <rv s="5">
    <fb>411.11</fb>
    <v>10</v>
  </rv>
  <rv s="5">
    <fb>417.44</fb>
    <v>10</v>
  </rv>
  <rv s="5">
    <fb>399.83</fb>
    <v>10</v>
  </rv>
  <rv s="5">
    <fb>398.68</fb>
    <v>10</v>
  </rv>
  <rv s="0">
    <v>https://www.bing.com/financeapi/forcetrigger?t=a237m7&amp;q=XNYS%3aSNAP&amp;form=skydnc</v>
    <v>Learn more on Bing</v>
  </rv>
  <rv s="3">
    <v>5</v>
    <v>SNAP INC. (XNYS:SNAP)</v>
    <v>2</v>
    <v>6</v>
    <v>Finance</v>
    <v>7</v>
    <v>en-US</v>
    <v>a237m7</v>
    <v>268435456</v>
    <v>1</v>
    <v>Powered by Refinitiv</v>
    <v>10.41</v>
    <v>4.6501000000000001</v>
    <v>0.88749999999999996</v>
    <v>-0.21</v>
    <v>-4.0936E-2</v>
    <v>3.1300000000000001E-2</v>
    <v>6.3749999999999996E-3</v>
    <v>USD</v>
    <v>Snap Inc. is a technology company. Its flagship product, Snapchat, is a visual messaging application that enhances relationships with friends, family, and the world. Snapchat is the Company's core mobile device application and contains five tabs, complemented by additional tools that function outside the application. Snapchatters can interact with any or all the five tabs. Additionally, it offers Snapchat+, its subscription product that provides subscribers access to exclusive, experimental, and pre-release features. Snapchat+ offers a range of features, from allowing Snapchatters to customize the look and feel of their application, to giving special insights into their friendships. The Company also offers Snapchat for Web, a browser-based product that brings Snapchats calling and messaging capabilities to the Web. Its advertising products include AR Ads and Snap Ads. Snap Ads include Single Image or Video Ads, Story Ads, Collection Ads, Dynamic Ads, Commercials, and Sponsored Snaps.</v>
    <v>5261</v>
    <v>New York Stock Exchange</v>
    <v>XNYS</v>
    <v>XNYS</v>
    <v>3000 31st Street, SANTA MONICA, CA, 90405 US</v>
    <v>5.16</v>
    <v>Software &amp; IT Services</v>
    <v>Stock</v>
    <v>46091.879968923437</v>
    <v>43</v>
    <v>4.87</v>
    <v>8309643840</v>
    <v>SNAP INC.</v>
    <v>SNAP INC.</v>
    <v>5.15</v>
    <v>0</v>
    <v>5.13</v>
    <v>4.92</v>
    <v>4.9413</v>
    <v>1688952000</v>
    <v>SNAP</v>
    <v>SNAP INC. (XNYS:SNAP)</v>
    <v>58409492</v>
    <v>57755283</v>
    <v>2012</v>
  </rv>
  <rv s="2">
    <v>44</v>
  </rv>
  <rv s="0">
    <v>https://www.bing.com/financeapi/forcetrigger?t=a1nhlh&amp;q=XNAS%3aAMZN&amp;form=skydnc</v>
    <v>Learn more on Bing</v>
  </rv>
  <rv s="3">
    <v>5</v>
    <v>AMAZON.COM, INC. (XNAS:AMZN)</v>
    <v>2</v>
    <v>6</v>
    <v>Finance</v>
    <v>7</v>
    <v>en-US</v>
    <v>a1nhlh</v>
    <v>268435456</v>
    <v>1</v>
    <v>Powered by Refinitiv</v>
    <v>258.60000000000002</v>
    <v>161.38</v>
    <v>1.4121999999999999</v>
    <v>0.84</v>
    <v>3.9350000000000001E-3</v>
    <v>0.39</v>
    <v>1.82E-3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215.65</v>
    <v>Diversified Retail</v>
    <v>Stock</v>
    <v>46091.880244178123</v>
    <v>46</v>
    <v>212.43</v>
    <v>2300815403600</v>
    <v>AMAZON.COM, INC.</v>
    <v>AMAZON.COM, INC.</v>
    <v>214.19</v>
    <v>29.883400000000002</v>
    <v>213.49</v>
    <v>214.33</v>
    <v>214.72</v>
    <v>10734920000</v>
    <v>AMZN</v>
    <v>AMAZON.COM, INC. (XNAS:AMZN)</v>
    <v>35534011</v>
    <v>62957111</v>
    <v>1996</v>
  </rv>
  <rv s="2">
    <v>47</v>
  </rv>
  <rv s="0">
    <v>https://www.bing.com/financeapi/forcetrigger?t=a1u3rw&amp;q=XNAS%3aGOOGL&amp;form=skydnc</v>
    <v>Learn more on Bing</v>
  </rv>
  <rv s="3">
    <v>5</v>
    <v>ALPHABET INC. (XNAS:GOOGL)</v>
    <v>2</v>
    <v>6</v>
    <v>Finance</v>
    <v>7</v>
    <v>en-US</v>
    <v>a1u3rw</v>
    <v>268435456</v>
    <v>1</v>
    <v>Powered by Refinitiv</v>
    <v>349</v>
    <v>140.53</v>
    <v>1.1146</v>
    <v>0.68</v>
    <v>2.2200000000000002E-3</v>
    <v>0.374</v>
    <v>1.2180000000000001E-3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309.51</v>
    <v>Software &amp; IT Services</v>
    <v>Stock</v>
    <v>46091.880036700779</v>
    <v>49</v>
    <v>305.57040000000001</v>
    <v>3714262880000</v>
    <v>ALPHABET INC.</v>
    <v>ALPHABET INC.</v>
    <v>306.17</v>
    <v>28.403300000000002</v>
    <v>306.36</v>
    <v>307.04000000000002</v>
    <v>307.41399999999999</v>
    <v>12097000000</v>
    <v>GOOGL</v>
    <v>ALPHABET INC. (XNAS:GOOGL)</v>
    <v>23187189</v>
    <v>39980346</v>
    <v>2015</v>
  </rv>
  <rv s="2">
    <v>50</v>
  </rv>
  <rv s="0">
    <v>https://www.bing.com/financeapi/forcetrigger?t=a1nz8m&amp;q=XNAS%3aAVGO&amp;form=skydnc</v>
    <v>Learn more on Bing</v>
  </rv>
  <rv s="3">
    <v>5</v>
    <v>BROADCOM INC. (XNAS:AVGO)</v>
    <v>2</v>
    <v>6</v>
    <v>Finance</v>
    <v>7</v>
    <v>en-US</v>
    <v>a1nz8m</v>
    <v>268435456</v>
    <v>1</v>
    <v>Powered by Refinitiv</v>
    <v>414.61</v>
    <v>138.1</v>
    <v>1.2423</v>
    <v>-3.23</v>
    <v>-9.3419999999999996E-3</v>
    <v>0.62</v>
    <v>1.81E-3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353.14</v>
    <v>Semiconductors &amp; Semiconductor Equipment</v>
    <v>Stock</v>
    <v>46091.880110520309</v>
    <v>52</v>
    <v>340.8</v>
    <v>1622038739560</v>
    <v>BROADCOM INC.</v>
    <v>BROADCOM INC.</v>
    <v>348.73</v>
    <v>71.807100000000005</v>
    <v>345.75</v>
    <v>342.52</v>
    <v>343.2</v>
    <v>4735603000</v>
    <v>AVGO</v>
    <v>BROADCOM INC. (XNAS:AVGO)</v>
    <v>29470366</v>
    <v>27385701</v>
    <v>2018</v>
  </rv>
  <rv s="2">
    <v>53</v>
  </rv>
  <rv s="5">
    <fb>6.93</fb>
    <v>10</v>
  </rv>
  <rv s="5">
    <fb>5.22</fb>
    <v>10</v>
  </rv>
  <rv s="5">
    <fb>4.83</fb>
    <v>10</v>
  </rv>
  <rv s="5">
    <fb>4.93</fb>
    <v>10</v>
  </rv>
  <rv s="5">
    <fb>5.21</fb>
    <v>10</v>
  </rv>
  <rv s="5">
    <fb>5.07</fb>
    <v>10</v>
  </rv>
  <rv s="5">
    <fb>239.3</fb>
    <v>10</v>
  </rv>
  <rv s="5">
    <fb>210.32</fb>
    <v>10</v>
  </rv>
  <rv s="5">
    <fb>198.79</fb>
    <v>10</v>
  </rv>
  <rv s="5">
    <fb>205.27</fb>
    <v>10</v>
  </rv>
  <rv s="5">
    <fb>210</fb>
    <v>10</v>
  </rv>
  <rv s="5">
    <fb>217.32</fb>
    <v>10</v>
  </rv>
  <rv s="5">
    <fb>338</fb>
    <v>10</v>
  </rv>
  <rv s="5">
    <fb>322.86</fb>
    <v>10</v>
  </rv>
  <rv s="5">
    <fb>305.72000000000003</fb>
    <v>10</v>
  </rv>
  <rv s="5">
    <fb>311.49</fb>
    <v>10</v>
  </rv>
  <rv s="5">
    <fb>311.76</fb>
    <v>10</v>
  </rv>
  <rv s="5">
    <fb>300.52999999999997</fb>
    <v>10</v>
  </rv>
  <rv s="5">
    <fb>331.3</fb>
    <v>10</v>
  </rv>
  <rv s="5">
    <fb>332.92</fb>
    <v>10</v>
  </rv>
  <rv s="5">
    <fb>325.17</fb>
    <v>10</v>
  </rv>
  <rv s="5">
    <fb>330.34</fb>
    <v>10</v>
  </rv>
  <rv s="5">
    <fb>319.55</fb>
    <v>10</v>
  </rv>
  <rv s="5">
    <fb>343.51</fb>
    <v>10</v>
  </rv>
  <rv s="0">
    <v>https://www.bing.com/financeapi/forcetrigger?t=c2mtww&amp;q=XNAS%3aHOOD&amp;form=skydnc</v>
    <v>Learn more on Bing</v>
  </rv>
  <rv s="3">
    <v>5</v>
    <v>ROBINHOOD MARKETS, INC. (XNAS:HOOD)</v>
    <v>2</v>
    <v>6</v>
    <v>Finance</v>
    <v>7</v>
    <v>en-US</v>
    <v>c2mtww</v>
    <v>268435456</v>
    <v>1</v>
    <v>Powered by Refinitiv</v>
    <v>153.85990000000001</v>
    <v>29.66</v>
    <v>2.4655999999999998</v>
    <v>-0.82</v>
    <v>-1.0334000000000001E-2</v>
    <v>0.17</v>
    <v>2.1649999999999998E-3</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2900</v>
    <v>Nasdaq Stock Market</v>
    <v>XNAS</v>
    <v>XNAS</v>
    <v>85 Willow Road, MENLO PARK, CA, 94025 US</v>
    <v>80.749899999999997</v>
    <v>Financial Technology (Fintech) &amp; Infrastructure</v>
    <v>Stock</v>
    <v>46091.880240103907</v>
    <v>79</v>
    <v>77.66</v>
    <v>70701218652</v>
    <v>ROBINHOOD MARKETS, INC.</v>
    <v>ROBINHOOD MARKETS, INC.</v>
    <v>80.204999999999998</v>
    <v>43.930399999999999</v>
    <v>79.349999999999994</v>
    <v>78.53</v>
    <v>78.7</v>
    <v>900308400</v>
    <v>HOOD</v>
    <v>ROBINHOOD MARKETS, INC. (XNAS:HOOD)</v>
    <v>22559230</v>
    <v>38000372</v>
    <v>2013</v>
  </rv>
  <rv s="2">
    <v>80</v>
  </rv>
  <rv s="0">
    <v>https://www.bing.com/financeapi/forcetrigger?t=a1pcnm&amp;q=XNYS%3aCCJ&amp;form=skydnc</v>
    <v>Learn more on Bing</v>
  </rv>
  <rv s="3">
    <v>5</v>
    <v>CAMECO CORPORATION (XNYS:CCJ)</v>
    <v>2</v>
    <v>11</v>
    <v>Finance</v>
    <v>7</v>
    <v>en-US</v>
    <v>a1pcnm</v>
    <v>268435456</v>
    <v>1</v>
    <v>Powered by Refinitiv</v>
    <v>135.24</v>
    <v>35</v>
    <v>0.98350000000000004</v>
    <v>3.96</v>
    <v>3.4097000000000002E-2</v>
    <v>0.42</v>
    <v>3.4979999999999998E-3</v>
    <v>USD</v>
    <v>Cameco Corporation is a provider of uranium fuel to generate baseload electricity around the globe. Its segments include uranium, fuel services and Westinghouse. The uranium segment involves the exploration for, mining, milling, purchase and sale of uranium concentrate. The fuel services segment involves the refining, conversion and fabrication of uranium concentrate and the purchase and sale of conversion services. The Westinghouse segment reflects its earnings from this equity-accounted investment. Westinghouse is a nuclear reactor technology original equipment manufacturer and a global provider of products and services to commercial utilities and government agencies. It provides outage and maintenance services, engineering support, instrumentation and controls equipment, plant modification, and components and parts to nuclear reactors. It has two operating mines, Cigar Lake and McArthur River as well as a mill at Key Lake. It also has ownership interests in Global Laser Enrichment.</v>
    <v>2424</v>
    <v>New York Stock Exchange</v>
    <v>XNYS</v>
    <v>XNYS</v>
    <v>2121 11th St W, SASKATOON, SK, S7M 1J3 CA</v>
    <v>122.3</v>
    <v>Uranium</v>
    <v>Stock</v>
    <v>46091.878713135935</v>
    <v>82</v>
    <v>116.5</v>
    <v>51558396540</v>
    <v>CAMECO CORPORATION</v>
    <v>CAMECO CORPORATION</v>
    <v>116.5</v>
    <v>121.76819999999999</v>
    <v>116.14</v>
    <v>120.1</v>
    <v>120.5</v>
    <v>435533000</v>
    <v>CCJ</v>
    <v>CAMECO CORPORATION (XNYS:CCJ)</v>
    <v>4705023</v>
    <v>4169639</v>
    <v>1997</v>
  </rv>
  <rv s="2">
    <v>83</v>
  </rv>
  <rv s="0">
    <v>https://www.bing.com/financeapi/forcetrigger?t=bq8rqh&amp;q=XNAS%3aCRWD&amp;form=skydnc</v>
    <v>Learn more on Bing</v>
  </rv>
  <rv s="3">
    <v>5</v>
    <v>CROWDSTRIKE HOLDINGS, INC. (XNAS:CRWD)</v>
    <v>2</v>
    <v>6</v>
    <v>Finance</v>
    <v>7</v>
    <v>en-US</v>
    <v>bq8rqh</v>
    <v>268435456</v>
    <v>1</v>
    <v>Powered by Refinitiv</v>
    <v>566.9</v>
    <v>298</v>
    <v>1.0896999999999999</v>
    <v>2.2000000000000002</v>
    <v>5.0680000000000005E-3</v>
    <v>0.37</v>
    <v>8.4800000000000001E-4</v>
    <v>USD</v>
    <v>CrowdStrike Holdings, Inc. is a global cybersecurity company that provides cloud-delivered protection of endpoints, cloud workloads, identity and data. Its Falcon platform is designed for cybersecurity consolidation, purpose-built to stop breaches. The platforms collect and integrate data from across the enterprise, including endpoints, cloud workloads, identities, and third-party sources. It offers 29 cloud modules on its Falcon platform via a software as a service (SaaS) subscription-based model that spans multiple large markets, including corporate endpoint and cloud workload security, managed security services, security and vulnerability management, information technology (IT) operations management, identity protection, next-generation security information and event management (SIEM) and log management, threat intelligence services, data protection, SaaS security posture management, automation and response (SOAR) and artificial intelligence powered workflow automation, and others.</v>
    <v>10698</v>
    <v>Nasdaq Stock Market</v>
    <v>XNAS</v>
    <v>XNAS</v>
    <v>206 E. 9TH STREET, SUITE 1400, AUSTIN, TX, 78701 US</v>
    <v>447.95</v>
    <v>Software &amp; IT Services</v>
    <v>Stock</v>
    <v>46091.879425532032</v>
    <v>85</v>
    <v>428.55</v>
    <v>110659440253</v>
    <v>CROWDSTRIKE HOLDINGS, INC.</v>
    <v>CROWDSTRIKE HOLDINGS, INC.</v>
    <v>445</v>
    <v>0</v>
    <v>434.13</v>
    <v>436.33</v>
    <v>436.7</v>
    <v>253614100</v>
    <v>CRWD</v>
    <v>CROWDSTRIKE HOLDINGS, INC. (XNAS:CRWD)</v>
    <v>3311824</v>
    <v>5124800</v>
    <v>2011</v>
  </rv>
  <rv s="2">
    <v>86</v>
  </rv>
  <rv s="0">
    <v>https://www.bing.com/financeapi/forcetrigger?t=bzu86h&amp;q=XNAS%3aCOIN&amp;form=skydnc</v>
    <v>Learn more on Bing</v>
  </rv>
  <rv s="3">
    <v>5</v>
    <v>COINBASE GLOBAL, INC. (XNAS:COIN)</v>
    <v>2</v>
    <v>6</v>
    <v>Finance</v>
    <v>7</v>
    <v>en-US</v>
    <v>bzu86h</v>
    <v>268435456</v>
    <v>1</v>
    <v>Powered by Refinitiv</v>
    <v>444.64499999999998</v>
    <v>139.36000000000001</v>
    <v>3.6716000000000002</v>
    <v>-3.27</v>
    <v>-1.6367E-2</v>
    <v>0.47</v>
    <v>2.392E-3</v>
    <v>USD</v>
    <v>Coinbase Global, Inc. is a holding company of Coinbase, Inc. and other subsidiaries. The Company provides a platform that serves as a compliant on-ramp to the onchain economy and enables users to engage in a variety of activities with their crypto assets in both proprietary and third-party product experiences enabled by access to decentralized applications. It offers consumers their primary financial account for the cryptoeconomy; institutions a full-service prime brokerage platform with access to deep pools of liquidity across the crypto marketplace, and developers a suite of products granting access to build onchain. Its platform helps people and institutions to engage with crypto assets, including trading, staking, safekeeping, spending, and global transfers. It offers products and services to various customer groups: individuals, businesses, institutions, and developers. Its transaction products consist of consumer trading, prime Trading, markets, base protocol and Coinbase wallet.</v>
    <v>4951</v>
    <v>Nasdaq Stock Market</v>
    <v>XNAS</v>
    <v>XNAS</v>
    <v>One Madison Avenue, Suite 2400, NEW YORK, NY, 10010 US</v>
    <v>206.01</v>
    <v>Financial Technology (Fintech) &amp; Infrastructure</v>
    <v>Stock</v>
    <v>46091.880232823438</v>
    <v>88</v>
    <v>194.75</v>
    <v>51896058304</v>
    <v>COINBASE GLOBAL, INC.</v>
    <v>COINBASE GLOBAL, INC.</v>
    <v>204.42500000000001</v>
    <v>45.052700000000002</v>
    <v>199.79</v>
    <v>196.52</v>
    <v>196.99</v>
    <v>264075200</v>
    <v>COIN</v>
    <v>COINBASE GLOBAL, INC. (XNAS:COIN)</v>
    <v>10793990</v>
    <v>15639295</v>
    <v>2025</v>
  </rv>
  <rv s="2">
    <v>89</v>
  </rv>
  <rv s="5">
    <fb>177.19</fb>
    <v>10</v>
  </rv>
  <rv s="5">
    <fb>182.91</fb>
    <v>10</v>
  </rv>
  <rv s="5">
    <fb>82.82</fb>
    <v>10</v>
  </rv>
  <rv s="5">
    <fb>75.97</fb>
    <v>10</v>
  </rv>
  <rv s="5">
    <fb>71.78</fb>
    <v>10</v>
  </rv>
  <rv s="5">
    <fb>75.849999999999994</fb>
    <v>10</v>
  </rv>
  <rv s="5">
    <fb>79.650000000000006</fb>
    <v>10</v>
  </rv>
  <rv s="5">
    <fb>113.63</fb>
    <v>10</v>
  </rv>
  <rv s="5">
    <fb>112.9</fb>
    <v>10</v>
  </rv>
  <rv s="5">
    <fb>118.75</fb>
    <v>10</v>
  </rv>
  <rv s="5">
    <fb>118.4</fb>
    <v>10</v>
  </rv>
  <rv s="5">
    <fb>116.41</fb>
    <v>10</v>
  </rv>
  <rv s="5">
    <fb>395.5</fb>
    <v>10</v>
  </rv>
  <rv s="5">
    <fb>429.64</fb>
    <v>10</v>
  </rv>
  <rv s="5">
    <fb>350.33</fb>
    <v>10</v>
  </rv>
  <rv s="5">
    <fb>371.98</fb>
    <v>10</v>
  </rv>
  <rv s="5">
    <fb>438.28</fb>
    <v>10</v>
  </rv>
  <rv s="5">
    <fb>165.12</fb>
    <v>10</v>
  </rv>
  <rv s="5">
    <fb>164.32</fb>
    <v>10</v>
  </rv>
  <rv s="5">
    <fb>160.24</fb>
    <v>10</v>
  </rv>
  <rv s="5">
    <fb>175.85</fb>
    <v>10</v>
  </rv>
  <rv s="5">
    <fb>203.49</fb>
    <v>10</v>
  </rv>
  <rv s="0">
    <v>https://www.bing.com/financeapi/forcetrigger?t=bvlqa2&amp;q=XNYS%3aSNOW&amp;form=skydnc</v>
    <v>Learn more on Bing</v>
  </rv>
  <rv s="3">
    <v>5</v>
    <v>SNOWFLAKE INC. (XNYS:SNOW)</v>
    <v>2</v>
    <v>6</v>
    <v>Finance</v>
    <v>7</v>
    <v>en-US</v>
    <v>bvlqa2</v>
    <v>268435456</v>
    <v>1</v>
    <v>Powered by Refinitiv</v>
    <v>280.67</v>
    <v>120.1</v>
    <v>1.1896</v>
    <v>-7.56</v>
    <v>-4.1348000000000003E-2</v>
    <v>0.57999999999999996</v>
    <v>3.3079999999999997E-3</v>
    <v>USD</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7834</v>
    <v>New York Stock Exchange</v>
    <v>XNYS</v>
    <v>XNYS</v>
    <v>106 East Babcock Street, Suite 3A, BOZEMAN, MT, 59715 US</v>
    <v>182.44</v>
    <v>Software &amp; IT Services</v>
    <v>Stock</v>
    <v>46091.879715625</v>
    <v>113</v>
    <v>174.43</v>
    <v>59980816000</v>
    <v>SNOWFLAKE INC.</v>
    <v>SNOWFLAKE INC.</v>
    <v>182.44</v>
    <v>0</v>
    <v>182.84</v>
    <v>175.28</v>
    <v>175.9</v>
    <v>342200000</v>
    <v>SNOW</v>
    <v>SNOWFLAKE INC. (XNYS:SNOW)</v>
    <v>4389701</v>
    <v>8213658</v>
    <v>2012</v>
  </rv>
  <rv s="2">
    <v>114</v>
  </rv>
  <rv s="0">
    <v>https://www.bing.com/financeapi/forcetrigger?t=a1y1qh&amp;q=XNAS%3aMSTR&amp;form=skydnc</v>
    <v>Learn more on Bing</v>
  </rv>
  <rv s="3">
    <v>5</v>
    <v>STRATEGY INC (XNAS:MSTR)</v>
    <v>2</v>
    <v>6</v>
    <v>Finance</v>
    <v>7</v>
    <v>en-US</v>
    <v>a1y1qh</v>
    <v>268435456</v>
    <v>1</v>
    <v>Powered by Refinitiv</v>
    <v>457.22</v>
    <v>104.16500000000001</v>
    <v>3.6107999999999998</v>
    <v>-0.49</v>
    <v>-3.5260000000000001E-3</v>
    <v>0.66</v>
    <v>4.7670000000000004E-3</v>
    <v>USD</v>
    <v>Strategy Inc., formerly MicroStrategy Incorporated, is a bitcoin treasury and business intelligence company. The Company provides cloud-native, artificial intelligence (AI)-powered enterprise analytics software to thousands of global customers. The Company’s Strategy ONE platform provides access to AI-powered workflows, unlimited data sources, cloud-native technologies, and performance to speed up time from data to action. Strategy One delivers visualization, reporting, and embedded analytics capabilities across retail, banking, technology, manufacturing, insurance, consulting, healthcare, telecommunications, and the public sector. Its Strategy Mosaic is a universal intelligence layer that provides enterprises with consistent definitions and governance across data sources, regardless of where that data resides or which tools access it. The Strategy Mosaic offers data clarity and connection by eliminating trade-offs between flexibility, control, and speed.</v>
    <v>1539</v>
    <v>Nasdaq Stock Market</v>
    <v>XNAS</v>
    <v>XNAS</v>
    <v>1850 TOWERS CRESCENT PLAZA, TYSONS CORNER, VA, 22182 US</v>
    <v>142.46</v>
    <v>Software &amp; IT Services</v>
    <v>Stock</v>
    <v>46091.880118171095</v>
    <v>116</v>
    <v>133.94</v>
    <v>44372553120</v>
    <v>STRATEGY INC</v>
    <v>STRATEGY INC</v>
    <v>141.92500000000001</v>
    <v>0</v>
    <v>138.94999999999999</v>
    <v>138.46</v>
    <v>139.12</v>
    <v>320472000</v>
    <v>MSTR</v>
    <v>STRATEGY INC (XNAS:MSTR)</v>
    <v>18239322</v>
    <v>25158352</v>
    <v>1989</v>
  </rv>
  <rv s="2">
    <v>117</v>
  </rv>
  <rv s="0">
    <v>https://www.bing.com/financeapi/forcetrigger?t=a234r7&amp;q=XNAS%3aSMCI&amp;form=skydnc</v>
    <v>Learn more on Bing</v>
  </rv>
  <rv s="3">
    <v>5</v>
    <v>SUPER MICRO COMPUTER, INC. (XNAS:SMCI)</v>
    <v>2</v>
    <v>6</v>
    <v>Finance</v>
    <v>7</v>
    <v>en-US</v>
    <v>a234r7</v>
    <v>268435456</v>
    <v>1</v>
    <v>Powered by Refinitiv</v>
    <v>62.357999999999997</v>
    <v>27.6</v>
    <v>1.4948999999999999</v>
    <v>-0.19</v>
    <v>-5.9409999999999992E-3</v>
    <v>0.05</v>
    <v>1.573E-3</v>
    <v>USD</v>
    <v>Super Micro Computer, Inc. provides application-optimized Total IT solutions. It delivers rack-scale solutions optimized for various workloads, including artificial intelligence and high-performance computing, where acceleration is critical. It produces a portfolio of server and storage solutions for enterprise data centers, cloud service providers and edge computing (5G Telco, Retail and embedded). Total IT Solutions include complete servers, storage systems, modular blade servers, workstations, full-rack scale solutions, networking devices, server sub-systems, server management and security software. It provides global support and services to help its customers install, upgrade and maintain their computing infrastructure, including liquid-cooling operations. It offers platforms in rackmount, blade, multi-node and embedded form factors, which support single, dual and multiprocessor architectures. Its key product lines include SuperBlade and MicroBlade, SuperStorage, Twin and others.</v>
    <v>6238</v>
    <v>Nasdaq Stock Market</v>
    <v>XNAS</v>
    <v>XNAS</v>
    <v>980 Rock Avenue, SAN JOSE, CA, 95131 US</v>
    <v>32.380000000000003</v>
    <v>Computers, Phones &amp; Household Electronics</v>
    <v>Stock</v>
    <v>46091.879818622656</v>
    <v>119</v>
    <v>31.555</v>
    <v>19089319601</v>
    <v>SUPER MICRO COMPUTER, INC.</v>
    <v>SUPER MICRO COMPUTER, INC.</v>
    <v>31.85</v>
    <v>24.233899999999998</v>
    <v>31.98</v>
    <v>31.79</v>
    <v>31.84</v>
    <v>600481900</v>
    <v>SMCI</v>
    <v>SUPER MICRO COMPUTER, INC. (XNAS:SMCI)</v>
    <v>19144421</v>
    <v>32755347</v>
    <v>2006</v>
  </rv>
  <rv s="2">
    <v>120</v>
  </rv>
  <rv s="0">
    <v>https://www.bing.com/financeapi/forcetrigger?t=a1qc1h&amp;q=XNYS%3aCRM&amp;form=skydnc</v>
    <v>Learn more on Bing</v>
  </rv>
  <rv s="3">
    <v>5</v>
    <v>SALESFORCE, INC. (XNYS:CRM)</v>
    <v>2</v>
    <v>6</v>
    <v>Finance</v>
    <v>7</v>
    <v>en-US</v>
    <v>a1qc1h</v>
    <v>268435456</v>
    <v>1</v>
    <v>Powered by Refinitiv</v>
    <v>296.05</v>
    <v>174.57</v>
    <v>1.2976000000000001</v>
    <v>-3.9</v>
    <v>-1.9619000000000001E-2</v>
    <v>7.8E-2</v>
    <v>4.0020000000000002E-4</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83334</v>
    <v>New York Stock Exchange</v>
    <v>XNYS</v>
    <v>XNYS</v>
    <v>SALESFORCE TOWER, 415 MISSION STREET 3RD FL, SAN FRANCISCO, CA, 94105 US</v>
    <v>199.57</v>
    <v>Software &amp; IT Services</v>
    <v>Stock</v>
    <v>46091.87976241875</v>
    <v>122</v>
    <v>190.6</v>
    <v>179883470000</v>
    <v>SALESFORCE, INC.</v>
    <v>SALESFORCE, INC.</v>
    <v>197.26</v>
    <v>24.959</v>
    <v>198.79</v>
    <v>194.89</v>
    <v>194.988</v>
    <v>923000000</v>
    <v>CRM</v>
    <v>SALESFORCE, INC. (XNYS:CRM)</v>
    <v>14422885</v>
    <v>14847291</v>
    <v>1999</v>
  </rv>
  <rv s="2">
    <v>123</v>
  </rv>
  <rv s="6">
    <v>12</v>
    <v>ARM HOLDINGS PLC (XNAS:ARM)</v>
    <v>13</v>
    <v>6</v>
    <v>Finance</v>
    <v>7</v>
    <v>en-US</v>
    <v>cau7bh</v>
    <v>268435456</v>
    <v>1</v>
    <v>Powered by Refinitiv</v>
    <v>183.16</v>
    <v>80</v>
    <v>1.784</v>
    <v>2.92</v>
    <v>2.4824000000000002E-2</v>
    <v>0.3412</v>
    <v>2.8299999999999996E-3</v>
    <v>USD</v>
    <v>Arm Holdings plc is engaged in operating a global computing platform. It architects, develops, and licenses high-performance and energy-efficient Arm compute platforms. The Company’s principal operations and activities are the licensing, marketing, research and development of central processing unit (CPU) design intellectual property (IP), graphics processors, system IP, market optimized platform IP, and associated software, tools and other related services. Its complementary products include GPU and NPU accelerators, interconnect, and others. Its primary product offerings are CPU products that address diverse performance, power, and cost requirements. It offers a family of GPU and NPU products providing efficient computing acceleration and an optimal visual experience across a wide range of devices. Its CPU, GPU, and System IP products integrated into a foundational compute platform optimized for a specific end market.</v>
    <v>8330</v>
    <v>Nasdaq Stock Market</v>
    <v>XNAS</v>
    <v>XNAS</v>
    <v>110 Fulbourn Road, CAMBRIDGE, CAMBRIDGESHIRE, CB1 9NJ GB</v>
    <v>123.605</v>
    <v>Semiconductors &amp; Semiconductor Equipment</v>
    <v>Stock</v>
    <v>46091.876964594529</v>
    <v>116.99</v>
    <v>128024100000</v>
    <v>ARM HOLDINGS PLC</v>
    <v>ARM HOLDINGS PLC</v>
    <v>117</v>
    <v>160.66909999999999</v>
    <v>117.63</v>
    <v>120.55</v>
    <v>120.8912</v>
    <v>1062000000</v>
    <v>ARM</v>
    <v>ARM HOLDINGS PLC (XNAS:ARM)</v>
    <v>3652955</v>
    <v>6151746</v>
    <v>2018</v>
  </rv>
  <rv s="2">
    <v>125</v>
  </rv>
  <rv s="5">
    <fb>177.1</fb>
    <v>10</v>
  </rv>
  <rv s="5">
    <fb>157.6</fb>
    <v>10</v>
  </rv>
  <rv s="5">
    <fb>168.41</fb>
    <v>10</v>
  </rv>
  <rv s="5">
    <fb>183.10499999999999</fb>
    <v>10</v>
  </rv>
  <rv s="5">
    <fb>128.66999999999999</fb>
    <v>10</v>
  </rv>
  <rv s="5">
    <fb>123.71</fb>
    <v>10</v>
  </rv>
  <rv s="5">
    <fb>129.5</fb>
    <v>10</v>
  </rv>
  <rv s="5">
    <fb>140.19</fb>
    <v>10</v>
  </rv>
  <rv s="5">
    <fb>30.11</fb>
    <v>10</v>
  </rv>
  <rv s="5">
    <fb>30.71</fb>
    <v>10</v>
  </rv>
  <rv s="5">
    <fb>32.39</fb>
    <v>10</v>
  </rv>
  <rv s="5">
    <fb>32.159999999999997</fb>
    <v>10</v>
  </rv>
  <rv s="5">
    <fb>184.29</fb>
    <v>10</v>
  </rv>
  <rv s="5">
    <fb>178.16</fb>
    <v>10</v>
  </rv>
  <rv s="5">
    <fb>194.79</fb>
    <v>10</v>
  </rv>
  <rv s="5">
    <fb>203.67</fb>
    <v>10</v>
  </rv>
  <rv s="5">
    <fb>126.89</fb>
    <v>10</v>
  </rv>
  <rv s="5">
    <fb>123.78</fb>
    <v>10</v>
  </rv>
  <rv s="5">
    <fb>127.45</fb>
    <v>10</v>
  </rv>
  <rv s="5">
    <fb>118.14</fb>
    <v>10</v>
  </rv>
  <rv s="0">
    <v>https://www.bing.com/financeapi/forcetrigger?t=auvwr7&amp;q=Silver&amp;form=skydnc</v>
    <v>Learn more on Bing</v>
  </rv>
  <rv s="7">
    <v>14</v>
    <v>Silver</v>
    <v>15</v>
    <v>16</v>
    <v>Finance</v>
    <v>en-US</v>
    <v>auvwr7</v>
    <v>268435456</v>
    <v>1</v>
    <v>Powered by Refinitiv</v>
    <v>Metal</v>
    <v>4.077</v>
    <v>4.8235E-2</v>
    <v>US</v>
    <v>USD</v>
    <v>43830</v>
    <v>Future</v>
    <v>46091.873266099217</v>
    <v>147</v>
    <v>12</v>
    <v>Silver</v>
    <v>88.6</v>
    <v>@SI0Y</v>
    <v>OZS</v>
    <v>Silver</v>
    <v>2019</v>
  </rv>
  <rv s="2">
    <v>148</v>
  </rv>
  <rv s="5">
    <fb>87.405000000000001</fb>
    <v>10</v>
  </rv>
  <rv s="0">
    <v>https://www.bing.com/financeapi/forcetrigger?t=a7f95r&amp;q=ProFunds+Oil+%26+Gas+UltraSector+ProFund%3bInvestor&amp;form=skydnc</v>
    <v>Learn more on Bing</v>
  </rv>
  <rv s="8">
    <v>17</v>
    <v>ProFunds Energy UltraSector ProFund;Investor</v>
    <v>18</v>
    <v>19</v>
    <v>Finance</v>
    <v>20</v>
    <v>en-US</v>
    <v>a7f95r</v>
    <v>268435456</v>
    <v>1</v>
    <v>Powered by Refinitiv</v>
    <v>-0.37</v>
    <v>-6.5359999999999993E-3</v>
    <v>US</v>
    <v>USD</v>
    <v>1.6500000000000001E-2</v>
    <v>Mutual Fund</v>
    <v>46090.947916666664</v>
    <v>46091.462271995311</v>
    <v>151</v>
    <v>ProFunds Energy UltraSector ProFund;Investor</v>
    <v>27463343</v>
    <v>56.61</v>
    <v>56.24</v>
    <v>1.1800999999999999</v>
    <v>7.1646000000000001E-2</v>
    <v>1.6884999999999997E-2</v>
    <v>0.48448500000000005</v>
    <v>0.363707</v>
    <v>0.144931</v>
    <v>0.252635</v>
    <v>0.39796199999999998</v>
    <v>ENPIX</v>
    <v>ProFunds Energy UltraSector ProFund;Investor</v>
  </rv>
  <rv s="2">
    <v>152</v>
  </rv>
  <rv s="5">
    <fb>55.67</fb>
    <v>10</v>
  </rv>
  <rv s="5">
    <fb>56.24</fb>
    <v>10</v>
  </rv>
  <rv s="9">
    <v>21</v>
    <v>a1u3rw</v>
    <v>Daily</v>
    <v>46087</v>
    <v>46087</v>
    <v>0</v>
    <v>1</v>
    <v>639083520000000000,639087722772980042,0</v>
    <v>0</v>
    <v>a1u3rw</v>
    <v>XNAS:GOOGL</v>
    <v>1</v>
  </rv>
  <rv s="10">
    <v>22</v>
    <v>a1u3rw</v>
    <v>Daily</v>
    <v>46076</v>
    <v>46076</v>
    <v>0</v>
    <v>1</v>
    <v>639074016000000000,639075600401471553,0</v>
    <v>0</v>
    <v>a1u3rw</v>
    <v>XNAS:GOOGL</v>
    <v>2</v>
  </rv>
  <rv s="10">
    <v>22</v>
    <v>a1u3rw</v>
    <v>Daily</v>
    <v>46059</v>
    <v>46059</v>
    <v>0</v>
    <v>1</v>
    <v>639059328000000000,639063972051589434,0</v>
    <v>0</v>
    <v>a1u3rw</v>
    <v>XNAS:GOOGL</v>
    <v>3</v>
  </rv>
  <rv s="10">
    <v>22</v>
    <v>a1u3rw</v>
    <v>Daily</v>
    <v>46080</v>
    <v>46080</v>
    <v>0</v>
    <v>1</v>
    <v>639077472000000000,639080740446990480,0</v>
    <v>0</v>
    <v>a1u3rw</v>
    <v>XNAS:GOOGL</v>
    <v>4</v>
  </rv>
  <rv s="10">
    <v>22</v>
    <v>a1u3rw</v>
    <v>Daily</v>
    <v>46052</v>
    <v>46052</v>
    <v>0</v>
    <v>1</v>
    <v>639053280000000000,639056595467337570,0</v>
    <v>0</v>
    <v>a1u3rw</v>
    <v>XNAS:GOOGL</v>
    <v>5</v>
  </rv>
  <rv s="10">
    <v>22</v>
    <v>a1u3rw</v>
    <v>Daily</v>
    <v>46066</v>
    <v>46066</v>
    <v>0</v>
    <v>1</v>
    <v>639065376000000000,639073172559130284,0</v>
    <v>0</v>
    <v>a1u3rw</v>
    <v>XNAS:GOOGL</v>
    <v>6</v>
  </rv>
  <rv s="10">
    <v>22</v>
    <v>a234r7</v>
    <v>Daily</v>
    <v>46080</v>
    <v>46080</v>
    <v>0</v>
    <v>1</v>
    <v>639077472000000000,639087725016964749,0</v>
    <v>0</v>
    <v>a234r7</v>
    <v>XNAS:SMCI</v>
    <v>7</v>
  </rv>
  <rv s="9">
    <v>21</v>
    <v>a234r7</v>
    <v>Daily</v>
    <v>46090</v>
    <v>46090</v>
    <v>0</v>
    <v>1</v>
    <v>639086112000000000,639087724707035881,0</v>
    <v>0</v>
    <v>a234r7</v>
    <v>XNAS:SMCI</v>
    <v>8</v>
  </rv>
  <rv s="10">
    <v>22</v>
    <v>a234r7</v>
    <v>Daily</v>
    <v>46076</v>
    <v>46076</v>
    <v>0</v>
    <v>1</v>
    <v>639074016000000000,639075601445664905,0</v>
    <v>0</v>
    <v>a234r7</v>
    <v>XNAS:SMCI</v>
    <v>9</v>
  </rv>
  <rv s="10">
    <v>22</v>
    <v>a234r7</v>
    <v>Daily</v>
    <v>46070</v>
    <v>46070</v>
    <v>0</v>
    <v>1</v>
    <v>639068832000000000,639073376295346701,0</v>
    <v>0</v>
    <v>a234r7</v>
    <v>XNAS:SMCI</v>
    <v>10</v>
  </rv>
  <rv s="10">
    <v>22</v>
    <v>a1y1qh</v>
    <v>Daily</v>
    <v>46080</v>
    <v>46080</v>
    <v>0</v>
    <v>1</v>
    <v>639077472000000000,639087725016935457,0</v>
    <v>0</v>
    <v>a1y1qh</v>
    <v>XNAS:MSTR</v>
    <v>11</v>
  </rv>
  <rv s="9">
    <v>21</v>
    <v>a1y1qh</v>
    <v>Daily</v>
    <v>46090</v>
    <v>46090</v>
    <v>0</v>
    <v>1</v>
    <v>639086112000000000,639087724707048787,0</v>
    <v>0</v>
    <v>a1y1qh</v>
    <v>XNAS:MSTR</v>
    <v>12</v>
  </rv>
  <rv s="10">
    <v>22</v>
    <v>a1y1qh</v>
    <v>Daily</v>
    <v>46076</v>
    <v>46076</v>
    <v>0</v>
    <v>1</v>
    <v>639074016000000000,639075601444140381,0</v>
    <v>0</v>
    <v>a1y1qh</v>
    <v>XNAS:MSTR</v>
    <v>13</v>
  </rv>
  <rv s="10">
    <v>22</v>
    <v>a1y1qh</v>
    <v>Daily</v>
    <v>46070</v>
    <v>46070</v>
    <v>0</v>
    <v>1</v>
    <v>639068832000000000,639073376295189277,0</v>
    <v>0</v>
    <v>a1y1qh</v>
    <v>XNAS:MSTR</v>
    <v>14</v>
  </rv>
  <rv s="9">
    <v>21</v>
    <v>auvwr7</v>
    <v>Daily</v>
    <v>46090</v>
    <v>46090</v>
    <v>0</v>
    <v>1</v>
    <v>639086112000000000,639087726009442389,0</v>
    <v>0</v>
    <v>auvwr7</v>
    <v>Silver</v>
    <v>15</v>
  </rv>
  <rv s="10">
    <v>22</v>
    <v>a1ndww</v>
    <v>Daily</v>
    <v>46090</v>
    <v>46090</v>
    <v>0</v>
    <v>1</v>
    <v>639086112000000000,639087722228576206,0</v>
    <v>0</v>
    <v>a1ndww</v>
    <v>XNAS:AMD</v>
    <v>16</v>
  </rv>
  <rv s="10">
    <v>22</v>
    <v>a1ndww</v>
    <v>Daily</v>
    <v>46076</v>
    <v>46076</v>
    <v>0</v>
    <v>1</v>
    <v>639074016000000000,639075597434330556,0</v>
    <v>0</v>
    <v>a1ndww</v>
    <v>XNAS:AMD</v>
    <v>17</v>
  </rv>
  <rv s="10">
    <v>22</v>
    <v>a1ndww</v>
    <v>Daily</v>
    <v>46066</v>
    <v>46066</v>
    <v>0</v>
    <v>1</v>
    <v>639065376000000000,639073172558172775,0</v>
    <v>0</v>
    <v>a1ndww</v>
    <v>XNAS:AMD</v>
    <v>18</v>
  </rv>
  <rv s="10">
    <v>22</v>
    <v>a1ndww</v>
    <v>Daily</v>
    <v>46052</v>
    <v>46052</v>
    <v>0</v>
    <v>1</v>
    <v>639053280000000000,639056091633435552,0</v>
    <v>0</v>
    <v>a1ndww</v>
    <v>XNAS:AMD</v>
    <v>19</v>
  </rv>
  <rv s="10">
    <v>22</v>
    <v>a1ndww</v>
    <v>Daily</v>
    <v>46059</v>
    <v>46059</v>
    <v>0</v>
    <v>1</v>
    <v>639059328000000000,639063968329585925,0</v>
    <v>0</v>
    <v>a1ndww</v>
    <v>XNAS:AMD</v>
    <v>20</v>
  </rv>
  <rv s="10">
    <v>22</v>
    <v>a24kar</v>
    <v>Daily</v>
    <v>46090</v>
    <v>46090</v>
    <v>0</v>
    <v>1</v>
    <v>639086112000000000,639087722228628092,0</v>
    <v>0</v>
    <v>a24kar</v>
    <v>XNAS:TSLA</v>
    <v>21</v>
  </rv>
  <rv s="10">
    <v>22</v>
    <v>a24kar</v>
    <v>Daily</v>
    <v>46076</v>
    <v>46076</v>
    <v>0</v>
    <v>1</v>
    <v>639074016000000000,639075597434815939,0</v>
    <v>0</v>
    <v>a24kar</v>
    <v>XNAS:TSLA</v>
    <v>22</v>
  </rv>
  <rv s="10">
    <v>22</v>
    <v>a24kar</v>
    <v>Daily</v>
    <v>46052</v>
    <v>46052</v>
    <v>0</v>
    <v>1</v>
    <v>639053280000000000,639056091633199804,0</v>
    <v>0</v>
    <v>a24kar</v>
    <v>XNAS:TSLA</v>
    <v>23</v>
  </rv>
  <rv s="10">
    <v>22</v>
    <v>a24kar</v>
    <v>Daily</v>
    <v>46059</v>
    <v>46059</v>
    <v>0</v>
    <v>1</v>
    <v>639059328000000000,639063968329715844,0</v>
    <v>0</v>
    <v>a24kar</v>
    <v>XNAS:TSLA</v>
    <v>24</v>
  </rv>
  <rv s="10">
    <v>22</v>
    <v>a24kar</v>
    <v>Daily</v>
    <v>46066</v>
    <v>46066</v>
    <v>0</v>
    <v>1</v>
    <v>639065376000000000,639073172559274580,0</v>
    <v>0</v>
    <v>a24kar</v>
    <v>XNAS:TSLA</v>
    <v>25</v>
  </rv>
  <rv s="10">
    <v>22</v>
    <v>bvlqa2</v>
    <v>Daily</v>
    <v>46080</v>
    <v>46080</v>
    <v>0</v>
    <v>1</v>
    <v>639077472000000000,639087725016900567,0</v>
    <v>0</v>
    <v>bvlqa2</v>
    <v>XNYS:SNOW</v>
    <v>26</v>
  </rv>
  <rv s="9">
    <v>21</v>
    <v>bvlqa2</v>
    <v>Daily</v>
    <v>46090</v>
    <v>46090</v>
    <v>0</v>
    <v>1</v>
    <v>639086112000000000,639087724638952091,0</v>
    <v>0</v>
    <v>bvlqa2</v>
    <v>XNYS:SNOW</v>
    <v>27</v>
  </rv>
  <rv s="10">
    <v>22</v>
    <v>bvlqa2</v>
    <v>Daily</v>
    <v>46076</v>
    <v>46076</v>
    <v>0</v>
    <v>1</v>
    <v>639074016000000000,639075601413492197,0</v>
    <v>0</v>
    <v>bvlqa2</v>
    <v>XNYS:SNOW</v>
    <v>28</v>
  </rv>
  <rv s="10">
    <v>22</v>
    <v>bvlqa2</v>
    <v>Daily</v>
    <v>46070</v>
    <v>46070</v>
    <v>0</v>
    <v>1</v>
    <v>639068832000000000,639073376263762339,0</v>
    <v>0</v>
    <v>bvlqa2</v>
    <v>XNYS:SNOW</v>
    <v>29</v>
  </rv>
  <rv s="9">
    <v>21</v>
    <v>a1yv52</v>
    <v>Daily</v>
    <v>46090</v>
    <v>46090</v>
    <v>0</v>
    <v>1</v>
    <v>639086112000000000,639087723931045731,0</v>
    <v>0</v>
    <v>a1yv52</v>
    <v>XNAS:NVDA</v>
    <v>30</v>
  </rv>
  <rv s="10">
    <v>22</v>
    <v>a1yv52</v>
    <v>Daily</v>
    <v>46080</v>
    <v>46080</v>
    <v>0</v>
    <v>1</v>
    <v>639077472000000000,639080811926782198,0</v>
    <v>0</v>
    <v>a1yv52</v>
    <v>XNAS:NVDA</v>
    <v>31</v>
  </rv>
  <rv s="10">
    <v>22</v>
    <v>a1yv52</v>
    <v>Daily</v>
    <v>46090</v>
    <v>46090</v>
    <v>0</v>
    <v>1</v>
    <v>639086112000000000,639087722244738669,0</v>
    <v>0</v>
    <v>a1yv52</v>
    <v>XNAS:NVDA</v>
    <v>32</v>
  </rv>
  <rv s="10">
    <v>22</v>
    <v>a1yv52</v>
    <v>Daily</v>
    <v>46076</v>
    <v>46076</v>
    <v>0</v>
    <v>1</v>
    <v>639074016000000000,639075597390927338,0</v>
    <v>0</v>
    <v>a1yv52</v>
    <v>XNAS:NVDA</v>
    <v>33</v>
  </rv>
  <rv s="10">
    <v>22</v>
    <v>a1yv52</v>
    <v>Daily</v>
    <v>46059</v>
    <v>46059</v>
    <v>0</v>
    <v>1</v>
    <v>639059328000000000,639063968329614619,0</v>
    <v>0</v>
    <v>a1yv52</v>
    <v>XNAS:NVDA</v>
    <v>34</v>
  </rv>
  <rv s="10">
    <v>22</v>
    <v>a1yv52</v>
    <v>Daily</v>
    <v>46052</v>
    <v>46052</v>
    <v>0</v>
    <v>1</v>
    <v>639053280000000000,639087721198763852,0</v>
    <v>0</v>
    <v>a1yv52</v>
    <v>XNAS:NVDA</v>
    <v>35</v>
  </rv>
  <rv s="10">
    <v>22</v>
    <v>a1yv52</v>
    <v>Daily</v>
    <v>46066</v>
    <v>46066</v>
    <v>0</v>
    <v>1</v>
    <v>639065376000000000,639073172559401466,0</v>
    <v>0</v>
    <v>a1yv52</v>
    <v>XNAS:NVDA</v>
    <v>36</v>
  </rv>
  <rv s="9">
    <v>21</v>
    <v>bq8rqh</v>
    <v>Daily</v>
    <v>46090</v>
    <v>46090</v>
    <v>0</v>
    <v>1</v>
    <v>639086112000000000,639087724021465448,0</v>
    <v>0</v>
    <v>bq8rqh</v>
    <v>XNAS:CRWD</v>
    <v>37</v>
  </rv>
  <rv s="10">
    <v>22</v>
    <v>bq8rqh</v>
    <v>Daily</v>
    <v>46080</v>
    <v>46080</v>
    <v>0</v>
    <v>1</v>
    <v>639077472000000000,639080744730229582,0</v>
    <v>0</v>
    <v>bq8rqh</v>
    <v>XNAS:CRWD</v>
    <v>38</v>
  </rv>
  <rv s="10">
    <v>22</v>
    <v>bq8rqh</v>
    <v>Daily</v>
    <v>46076</v>
    <v>46076</v>
    <v>0</v>
    <v>1</v>
    <v>639074016000000000,639075600960519704,0</v>
    <v>0</v>
    <v>bq8rqh</v>
    <v>XNAS:CRWD</v>
    <v>39</v>
  </rv>
  <rv s="10">
    <v>22</v>
    <v>bq8rqh</v>
    <v>Daily</v>
    <v>46059</v>
    <v>46059</v>
    <v>0</v>
    <v>1</v>
    <v>639059328000000000,639064021859375130,0</v>
    <v>0</v>
    <v>bq8rqh</v>
    <v>XNAS:CRWD</v>
    <v>40</v>
  </rv>
  <rv s="10">
    <v>22</v>
    <v>bq8rqh</v>
    <v>Daily</v>
    <v>46066</v>
    <v>46066</v>
    <v>0</v>
    <v>1</v>
    <v>639065376000000000,639073173874171549,0</v>
    <v>0</v>
    <v>bq8rqh</v>
    <v>XNAS:CRWD</v>
    <v>41</v>
  </rv>
  <rv s="9">
    <v>21</v>
    <v>cau7bh</v>
    <v>Daily</v>
    <v>46090</v>
    <v>46090</v>
    <v>0</v>
    <v>1</v>
    <v>639086112000000000,639087724706970141,0</v>
    <v>0</v>
    <v>cau7bh</v>
    <v>XNAS:ARM</v>
    <v>42</v>
  </rv>
  <rv s="10">
    <v>22</v>
    <v>cau7bh</v>
    <v>Daily</v>
    <v>46080</v>
    <v>46080</v>
    <v>0</v>
    <v>1</v>
    <v>639077472000000000,639087715443572044,0</v>
    <v>0</v>
    <v>cau7bh</v>
    <v>XNAS:ARM</v>
    <v>43</v>
  </rv>
  <rv s="10">
    <v>22</v>
    <v>cau7bh</v>
    <v>Daily</v>
    <v>46076</v>
    <v>46076</v>
    <v>0</v>
    <v>1</v>
    <v>639074016000000000,639087715446343992,0</v>
    <v>0</v>
    <v>cau7bh</v>
    <v>XNAS:ARM</v>
    <v>44</v>
  </rv>
  <rv s="10">
    <v>22</v>
    <v>cau7bh</v>
    <v>Daily</v>
    <v>46070</v>
    <v>46070</v>
    <v>0</v>
    <v>1</v>
    <v>639068832000000000,639087715444512636,0</v>
    <v>0</v>
    <v>cau7bh</v>
    <v>XNAS:ARM</v>
    <v>45</v>
  </rv>
  <rv s="10">
    <v>22</v>
    <v>a1v6hw</v>
    <v>Daily</v>
    <v>46090</v>
    <v>46090</v>
    <v>0</v>
    <v>1</v>
    <v>639086112000000000,639087722228606673,0</v>
    <v>0</v>
    <v>a1v6hw</v>
    <v>XNAS:IBKR</v>
    <v>46</v>
  </rv>
  <rv s="10">
    <v>22</v>
    <v>a1v6hw</v>
    <v>Daily</v>
    <v>46076</v>
    <v>46076</v>
    <v>0</v>
    <v>1</v>
    <v>639074016000000000,639075597434573664,0</v>
    <v>0</v>
    <v>a1v6hw</v>
    <v>XNAS:IBKR</v>
    <v>47</v>
  </rv>
  <rv s="10">
    <v>22</v>
    <v>a1v6hw</v>
    <v>Daily</v>
    <v>46066</v>
    <v>46066</v>
    <v>0</v>
    <v>1</v>
    <v>639065376000000000,639073172558583005,0</v>
    <v>0</v>
    <v>a1v6hw</v>
    <v>XNAS:IBKR</v>
    <v>48</v>
  </rv>
  <rv s="10">
    <v>22</v>
    <v>a1v6hw</v>
    <v>Daily</v>
    <v>46059</v>
    <v>46059</v>
    <v>0</v>
    <v>1</v>
    <v>639059328000000000,639063968329665491,0</v>
    <v>0</v>
    <v>a1v6hw</v>
    <v>XNAS:IBKR</v>
    <v>49</v>
  </rv>
  <rv s="10">
    <v>22</v>
    <v>a1v6hw</v>
    <v>Daily</v>
    <v>46052</v>
    <v>46052</v>
    <v>0</v>
    <v>1</v>
    <v>639053280000000000,639056091633675047,0</v>
    <v>0</v>
    <v>a1v6hw</v>
    <v>XNAS:IBKR</v>
    <v>50</v>
  </rv>
  <rv s="10">
    <v>22</v>
    <v>c4s6z2</v>
    <v>Daily</v>
    <v>46090</v>
    <v>46090</v>
    <v>0</v>
    <v>1</v>
    <v>639086112000000000,639087722228555100,0</v>
    <v>0</v>
    <v>c4s6z2</v>
    <v>XNAS:CRDO</v>
    <v>51</v>
  </rv>
  <rv s="10">
    <v>22</v>
    <v>c4s6z2</v>
    <v>Daily</v>
    <v>46076</v>
    <v>46076</v>
    <v>0</v>
    <v>1</v>
    <v>639074016000000000,639075597434085665,0</v>
    <v>0</v>
    <v>c4s6z2</v>
    <v>XNAS:CRDO</v>
    <v>52</v>
  </rv>
  <rv s="10">
    <v>22</v>
    <v>c4s6z2</v>
    <v>Daily</v>
    <v>46059</v>
    <v>46059</v>
    <v>0</v>
    <v>1</v>
    <v>639059328000000000,639063968329740597,0</v>
    <v>0</v>
    <v>c4s6z2</v>
    <v>XNAS:CRDO</v>
    <v>53</v>
  </rv>
  <rv s="10">
    <v>22</v>
    <v>c4s6z2</v>
    <v>Daily</v>
    <v>46052</v>
    <v>46052</v>
    <v>0</v>
    <v>1</v>
    <v>639053280000000000,639056091633922589,0</v>
    <v>0</v>
    <v>c4s6z2</v>
    <v>XNAS:CRDO</v>
    <v>54</v>
  </rv>
  <rv s="10">
    <v>22</v>
    <v>c4s6z2</v>
    <v>Daily</v>
    <v>46066</v>
    <v>46066</v>
    <v>0</v>
    <v>1</v>
    <v>639065376000000000,639073172558722086,0</v>
    <v>0</v>
    <v>c4s6z2</v>
    <v>XNAS:CRDO</v>
    <v>55</v>
  </rv>
  <rv s="9">
    <v>21</v>
    <v>a1nhlh</v>
    <v>Daily</v>
    <v>46087</v>
    <v>46087</v>
    <v>0</v>
    <v>1</v>
    <v>639083520000000000,639087722679909745,0</v>
    <v>0</v>
    <v>a1nhlh</v>
    <v>XNAS:AMZN</v>
    <v>56</v>
  </rv>
  <rv s="10">
    <v>22</v>
    <v>a1nhlh</v>
    <v>Daily</v>
    <v>46076</v>
    <v>46076</v>
    <v>0</v>
    <v>1</v>
    <v>639074016000000000,639075600401235056,0</v>
    <v>0</v>
    <v>a1nhlh</v>
    <v>XNAS:AMZN</v>
    <v>57</v>
  </rv>
  <rv s="10">
    <v>22</v>
    <v>a1nhlh</v>
    <v>Daily</v>
    <v>46066</v>
    <v>46066</v>
    <v>0</v>
    <v>1</v>
    <v>639065376000000000,639073172558691320,0</v>
    <v>0</v>
    <v>a1nhlh</v>
    <v>XNAS:AMZN</v>
    <v>58</v>
  </rv>
  <rv s="10">
    <v>22</v>
    <v>a1nhlh</v>
    <v>Daily</v>
    <v>46052</v>
    <v>46052</v>
    <v>0</v>
    <v>1</v>
    <v>639053280000000000,639056595292374377,0</v>
    <v>0</v>
    <v>a1nhlh</v>
    <v>XNAS:AMZN</v>
    <v>59</v>
  </rv>
  <rv s="10">
    <v>22</v>
    <v>a1nhlh</v>
    <v>Daily</v>
    <v>46080</v>
    <v>46080</v>
    <v>0</v>
    <v>1</v>
    <v>639077472000000000,639080740447033316,0</v>
    <v>0</v>
    <v>a1nhlh</v>
    <v>XNAS:AMZN</v>
    <v>60</v>
  </rv>
  <rv s="10">
    <v>22</v>
    <v>a1nhlh</v>
    <v>Daily</v>
    <v>46059</v>
    <v>46059</v>
    <v>0</v>
    <v>1</v>
    <v>639059328000000000,639063972054831870,0</v>
    <v>0</v>
    <v>a1nhlh</v>
    <v>XNAS:AMZN</v>
    <v>61</v>
  </rv>
  <rv s="9">
    <v>21</v>
    <v>c2mtww</v>
    <v>Daily</v>
    <v>46090</v>
    <v>46090</v>
    <v>0</v>
    <v>1</v>
    <v>639086112000000000,639087724021526178,0</v>
    <v>0</v>
    <v>c2mtww</v>
    <v>XNAS:HOOD</v>
    <v>62</v>
  </rv>
  <rv s="10">
    <v>22</v>
    <v>c2mtww</v>
    <v>Daily</v>
    <v>46080</v>
    <v>46080</v>
    <v>0</v>
    <v>1</v>
    <v>639077472000000000,639080744729498693,0</v>
    <v>0</v>
    <v>c2mtww</v>
    <v>XNAS:HOOD</v>
    <v>63</v>
  </rv>
  <rv s="10">
    <v>22</v>
    <v>c2mtww</v>
    <v>Daily</v>
    <v>46076</v>
    <v>46076</v>
    <v>0</v>
    <v>1</v>
    <v>639074016000000000,639075600959716509,0</v>
    <v>0</v>
    <v>c2mtww</v>
    <v>XNAS:HOOD</v>
    <v>64</v>
  </rv>
  <rv s="10">
    <v>22</v>
    <v>c2mtww</v>
    <v>Daily</v>
    <v>46066</v>
    <v>46066</v>
    <v>0</v>
    <v>1</v>
    <v>639065376000000000,639073173873991245,0</v>
    <v>0</v>
    <v>c2mtww</v>
    <v>XNAS:HOOD</v>
    <v>65</v>
  </rv>
  <rv s="10">
    <v>22</v>
    <v>c2mtww</v>
    <v>Daily</v>
    <v>46059</v>
    <v>46059</v>
    <v>0</v>
    <v>1</v>
    <v>639059328000000000,639064021859000626,0</v>
    <v>0</v>
    <v>c2mtww</v>
    <v>XNAS:HOOD</v>
    <v>66</v>
  </rv>
  <rv s="9">
    <v>21</v>
    <v>a1pcnm</v>
    <v>Daily</v>
    <v>46090</v>
    <v>46090</v>
    <v>0</v>
    <v>1</v>
    <v>639086112000000000,639087724021496311,0</v>
    <v>0</v>
    <v>a1pcnm</v>
    <v>XNYS:CCJ</v>
    <v>67</v>
  </rv>
  <rv s="10">
    <v>22</v>
    <v>a1pcnm</v>
    <v>Daily</v>
    <v>46080</v>
    <v>46080</v>
    <v>0</v>
    <v>1</v>
    <v>639077472000000000,639080744729982684,0</v>
    <v>0</v>
    <v>a1pcnm</v>
    <v>XNYS:CCJ</v>
    <v>68</v>
  </rv>
  <rv s="10">
    <v>22</v>
    <v>a1pcnm</v>
    <v>Daily</v>
    <v>46076</v>
    <v>46076</v>
    <v>0</v>
    <v>1</v>
    <v>639074016000000000,639075600960116603,0</v>
    <v>0</v>
    <v>a1pcnm</v>
    <v>XNYS:CCJ</v>
    <v>69</v>
  </rv>
  <rv s="10">
    <v>22</v>
    <v>a1pcnm</v>
    <v>Daily</v>
    <v>46059</v>
    <v>46059</v>
    <v>0</v>
    <v>1</v>
    <v>639059328000000000,639064021859740788,0</v>
    <v>0</v>
    <v>a1pcnm</v>
    <v>XNYS:CCJ</v>
    <v>70</v>
  </rv>
  <rv s="10">
    <v>22</v>
    <v>a1pcnm</v>
    <v>Daily</v>
    <v>46066</v>
    <v>46066</v>
    <v>0</v>
    <v>1</v>
    <v>639065376000000000,639073173874350063,0</v>
    <v>0</v>
    <v>a1pcnm</v>
    <v>XNYS:CCJ</v>
    <v>71</v>
  </rv>
  <rv s="9">
    <v>21</v>
    <v>a1qc1h</v>
    <v>Daily</v>
    <v>46090</v>
    <v>46090</v>
    <v>0</v>
    <v>1</v>
    <v>639086112000000000,639087724706999006,0</v>
    <v>0</v>
    <v>a1qc1h</v>
    <v>XNYS:CRM</v>
    <v>72</v>
  </rv>
  <rv s="10">
    <v>22</v>
    <v>a1qc1h</v>
    <v>Daily</v>
    <v>46080</v>
    <v>46080</v>
    <v>0</v>
    <v>1</v>
    <v>639077472000000000,639080812282952492,0</v>
    <v>0</v>
    <v>a1qc1h</v>
    <v>XNYS:CRM</v>
    <v>73</v>
  </rv>
  <rv s="10">
    <v>22</v>
    <v>a1qc1h</v>
    <v>Daily</v>
    <v>46076</v>
    <v>46076</v>
    <v>0</v>
    <v>1</v>
    <v>639074016000000000,639075601444652802,0</v>
    <v>0</v>
    <v>a1qc1h</v>
    <v>XNYS:CRM</v>
    <v>74</v>
  </rv>
  <rv s="10">
    <v>22</v>
    <v>a1qc1h</v>
    <v>Daily</v>
    <v>46070</v>
    <v>46070</v>
    <v>0</v>
    <v>1</v>
    <v>639068832000000000,639073376295685624,0</v>
    <v>0</v>
    <v>a1qc1h</v>
    <v>XNYS:CRM</v>
    <v>75</v>
  </rv>
  <rv s="11">
    <v>23</v>
    <v>a237m7</v>
    <v>Daily</v>
    <v>46087</v>
    <v>46087</v>
    <v>0</v>
    <v>1</v>
    <v>639083520000000000,639087722810194447,0</v>
    <v>0</v>
    <v>a237m7</v>
    <v>XNYS:SNAP</v>
    <v>76</v>
  </rv>
  <rv s="10">
    <v>22</v>
    <v>a237m7</v>
    <v>Daily</v>
    <v>46076</v>
    <v>46076</v>
    <v>0</v>
    <v>1</v>
    <v>639074016000000000,639075600363435613,0</v>
    <v>0</v>
    <v>a237m7</v>
    <v>XNYS:SNAP</v>
    <v>77</v>
  </rv>
  <rv s="10">
    <v>22</v>
    <v>a237m7</v>
    <v>Daily</v>
    <v>46066</v>
    <v>46066</v>
    <v>0</v>
    <v>1</v>
    <v>639065376000000000,639073172559630406,0</v>
    <v>0</v>
    <v>a237m7</v>
    <v>XNYS:SNAP</v>
    <v>78</v>
  </rv>
  <rv s="10">
    <v>22</v>
    <v>a237m7</v>
    <v>Daily</v>
    <v>46059</v>
    <v>46059</v>
    <v>0</v>
    <v>1</v>
    <v>639059328000000000,639063968329688143,0</v>
    <v>0</v>
    <v>a237m7</v>
    <v>XNYS:SNAP</v>
    <v>79</v>
  </rv>
  <rv s="10">
    <v>22</v>
    <v>a237m7</v>
    <v>Daily</v>
    <v>46052</v>
    <v>46052</v>
    <v>0</v>
    <v>1</v>
    <v>639053280000000000,639056595342814298,0</v>
    <v>0</v>
    <v>a237m7</v>
    <v>XNYS:SNAP</v>
    <v>80</v>
  </rv>
  <rv s="10">
    <v>22</v>
    <v>a237m7</v>
    <v>Daily</v>
    <v>46080</v>
    <v>46080</v>
    <v>0</v>
    <v>1</v>
    <v>639077472000000000,639080740447155351,0</v>
    <v>0</v>
    <v>a237m7</v>
    <v>XNYS:SNAP</v>
    <v>81</v>
  </rv>
  <rv s="9">
    <v>21</v>
    <v>a1nz8m</v>
    <v>Daily</v>
    <v>46087</v>
    <v>46087</v>
    <v>0</v>
    <v>1</v>
    <v>639083520000000000,639087722772952597,0</v>
    <v>0</v>
    <v>a1nz8m</v>
    <v>XNAS:AVGO</v>
    <v>82</v>
  </rv>
  <rv s="10">
    <v>22</v>
    <v>a1nz8m</v>
    <v>Daily</v>
    <v>46076</v>
    <v>46076</v>
    <v>0</v>
    <v>1</v>
    <v>639074016000000000,639075600401712184,0</v>
    <v>0</v>
    <v>a1nz8m</v>
    <v>XNAS:AVGO</v>
    <v>83</v>
  </rv>
  <rv s="10">
    <v>22</v>
    <v>a1nz8m</v>
    <v>Daily</v>
    <v>46066</v>
    <v>46066</v>
    <v>0</v>
    <v>1</v>
    <v>639065376000000000,639073172559779007,0</v>
    <v>0</v>
    <v>a1nz8m</v>
    <v>XNAS:AVGO</v>
    <v>84</v>
  </rv>
  <rv s="10">
    <v>22</v>
    <v>a1nz8m</v>
    <v>Daily</v>
    <v>46059</v>
    <v>46059</v>
    <v>0</v>
    <v>1</v>
    <v>639059328000000000,639063968329558717,0</v>
    <v>0</v>
    <v>a1nz8m</v>
    <v>XNAS:AVGO</v>
    <v>85</v>
  </rv>
  <rv s="10">
    <v>22</v>
    <v>a1nz8m</v>
    <v>Daily</v>
    <v>46052</v>
    <v>46052</v>
    <v>0</v>
    <v>1</v>
    <v>639053280000000000,639056595623012433,0</v>
    <v>0</v>
    <v>a1nz8m</v>
    <v>XNAS:AVGO</v>
    <v>86</v>
  </rv>
  <rv s="10">
    <v>22</v>
    <v>a1nz8m</v>
    <v>Daily</v>
    <v>46080</v>
    <v>46080</v>
    <v>0</v>
    <v>1</v>
    <v>639077472000000000,639080740447077437,0</v>
    <v>0</v>
    <v>a1nz8m</v>
    <v>XNAS:AVGO</v>
    <v>87</v>
  </rv>
  <rv s="9">
    <v>21</v>
    <v>bzu86h</v>
    <v>Daily</v>
    <v>46090</v>
    <v>46090</v>
    <v>0</v>
    <v>1</v>
    <v>639086112000000000,639087724021436575,0</v>
    <v>0</v>
    <v>bzu86h</v>
    <v>XNAS:COIN</v>
    <v>88</v>
  </rv>
  <rv s="10">
    <v>22</v>
    <v>bzu86h</v>
    <v>Daily</v>
    <v>46080</v>
    <v>46080</v>
    <v>0</v>
    <v>1</v>
    <v>639077472000000000,639080744729743717,0</v>
    <v>0</v>
    <v>bzu86h</v>
    <v>XNAS:COIN</v>
    <v>89</v>
  </rv>
  <rv s="10">
    <v>22</v>
    <v>bzu86h</v>
    <v>Daily</v>
    <v>46076</v>
    <v>46076</v>
    <v>0</v>
    <v>1</v>
    <v>639074016000000000,639075600960923540,0</v>
    <v>0</v>
    <v>bzu86h</v>
    <v>XNAS:COIN</v>
    <v>90</v>
  </rv>
  <rv s="10">
    <v>22</v>
    <v>bzu86h</v>
    <v>Daily</v>
    <v>46066</v>
    <v>46066</v>
    <v>0</v>
    <v>1</v>
    <v>639065376000000000,639073173874521027,0</v>
    <v>0</v>
    <v>bzu86h</v>
    <v>XNAS:COIN</v>
    <v>91</v>
  </rv>
  <rv s="10">
    <v>22</v>
    <v>bzu86h</v>
    <v>Daily</v>
    <v>46059</v>
    <v>46059</v>
    <v>0</v>
    <v>1</v>
    <v>639059328000000000,639064021860110872,0</v>
    <v>0</v>
    <v>bzu86h</v>
    <v>XNAS:COIN</v>
    <v>92</v>
  </rv>
  <rv s="10">
    <v>22</v>
    <v>a7f95r</v>
    <v>Daily</v>
    <v>46090</v>
    <v>46090</v>
    <v>0</v>
    <v>1</v>
    <v>639086112000000000,639087726652360763,0</v>
    <v>0</v>
    <v>a7f95r</v>
    <v>ENPIX</v>
    <v>93</v>
  </rv>
  <rv s="10">
    <v>22</v>
    <v>a7f95r</v>
    <v>Daily</v>
    <v>46080</v>
    <v>46080</v>
    <v>0</v>
    <v>1</v>
    <v>639077472000000000,639087726900895190,0</v>
    <v>0</v>
    <v>a7f95r</v>
    <v>ENPIX</v>
    <v>94</v>
  </rv>
</rvData>
</file>

<file path=xl/richData/rdrichvaluestructure.xml><?xml version="1.0" encoding="utf-8"?>
<rvStructures xmlns="http://schemas.microsoft.com/office/spreadsheetml/2017/richdata" count="12">
  <s t="_hyperlink">
    <k n="Address" t="s"/>
    <k n="Text" t="s"/>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formattednumber">
    <k n="_Format" t="spb"/>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EntityCulture" t="s"/>
    <k n="%EntityId" t="s"/>
    <k n="%EntityServiceId"/>
    <k n="%IsRefreshable" t="b"/>
    <k n="%ProviderInfo" t="s"/>
    <k n="Category" t="s"/>
    <k n="Change"/>
    <k n="Change (%)"/>
    <k n="Country/region" t="s"/>
    <k n="Currency" t="s"/>
    <k n="Expiration Date"/>
    <k n="Instrument type" t="s"/>
    <k n="Last trade time"/>
    <k n="LearnMoreOnLink" t="r"/>
    <k n="Month"/>
    <k n="Name" t="s"/>
    <k n="Price"/>
    <k n="Ticker symbol" t="s"/>
    <k n="Trade Unit" t="s"/>
    <k n="UniqueName" t="s"/>
    <k n="Year"/>
  </s>
  <s t="_linkedentitycore">
    <k n="_Display" t="spb"/>
    <k n="_DisplayString" t="s"/>
    <k n="_Flags" t="spb"/>
    <k n="_Format" t="spb"/>
    <k n="_Icon" t="s"/>
    <k n="_SubLabel" t="spb"/>
    <k n="%EntityCulture" t="s"/>
    <k n="%EntityId" t="s"/>
    <k n="%EntityServiceId"/>
    <k n="%IsRefreshable" t="b"/>
    <k n="%ProviderInfo" t="s"/>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stockhistorycache">
    <k n="_Format" t="spb"/>
    <k n="Symbol" t="s"/>
    <k n="Interval" t="s"/>
    <k n="StartDate" t="i"/>
    <k n="EndDate" t="i"/>
    <k n="f1904" t="b"/>
    <k n="fdcompat" t="b"/>
    <k n="etag" t="s"/>
    <k n="Date" t="a"/>
    <k n="EntityId" t="s"/>
    <k n="Instrument" t="s"/>
    <k n="High" t="a"/>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Low" t="a"/>
  </s>
</rvStructures>
</file>

<file path=xl/richData/rdsupportingpropertybag.xml><?xml version="1.0" encoding="utf-8"?>
<supportingPropertyBags xmlns="http://schemas.microsoft.com/office/spreadsheetml/2017/richdata2">
  <spbArrays count="6">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26">
      <v t="s">%EntityServiceId</v>
      <v t="s">_Format</v>
      <v t="s">%IsRefreshable</v>
      <v t="s">%EntityCulture</v>
      <v t="s">%EntityId</v>
      <v t="s">_Icon</v>
      <v t="s">_Display</v>
      <v t="s">Name</v>
      <v t="s">Price</v>
      <v t="s">Last trade time</v>
      <v t="s">Ticker symbol</v>
      <v t="s">Change</v>
      <v t="s">Change (%)</v>
      <v t="s">Currency</v>
      <v t="s">Category</v>
      <v t="s">Expiration Date</v>
      <v t="s">Trade Unit</v>
      <v t="s">Year</v>
      <v t="s">Month</v>
      <v t="s">Country/region</v>
      <v t="s">Instrument type</v>
      <v t="s">_Flags</v>
      <v t="s">UniqueName</v>
      <v t="s">_DisplayString</v>
      <v t="s">LearnMoreOnLink</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spbArrays>
  <spbData count="24">
    <spb s="0">
      <v>0</v>
      <v>Name</v>
      <v>LearnMoreOnLink</v>
    </spb>
    <spb s="1">
      <v>0</v>
      <v>0</v>
      <v>0</v>
    </spb>
    <spb s="2">
      <v>1</v>
      <v>1</v>
      <v>1</v>
      <v>1</v>
    </spb>
    <spb s="3">
      <v>1</v>
      <v>2</v>
      <v>2</v>
      <v>1</v>
      <v>3</v>
      <v>1</v>
      <v>1</v>
      <v>1</v>
      <v>4</v>
      <v>4</v>
      <v>5</v>
      <v>6</v>
      <v>1</v>
      <v>4</v>
      <v>7</v>
      <v>8</v>
      <v>9</v>
      <v>4</v>
    </spb>
    <spb s="4">
      <v>Delayed 15 minutes</v>
      <v>from previous close</v>
      <v>from previous close</v>
      <v>GMT</v>
    </spb>
    <spb s="0">
      <v>1</v>
      <v>Name</v>
      <v>LearnMoreOnLink</v>
    </spb>
    <spb s="5">
      <v>10</v>
      <v>2</v>
      <v>2</v>
      <v>10</v>
      <v>3</v>
      <v>10</v>
      <v>10</v>
      <v>10</v>
      <v>4</v>
      <v>4</v>
      <v>5</v>
      <v>6</v>
      <v>10</v>
      <v>10</v>
      <v>10</v>
      <v>4</v>
      <v>11</v>
      <v>8</v>
      <v>9</v>
      <v>4</v>
      <v>10</v>
      <v>10</v>
      <v>5</v>
    </spb>
    <spb s="6">
      <v>at close</v>
      <v>from previous close</v>
      <v>from previous close</v>
      <v>Source: Nasdaq Last Sale</v>
      <v>GMT</v>
      <v>Real-Time Nasdaq Last Sale</v>
      <v>from close</v>
      <v>from close</v>
    </spb>
    <spb s="0">
      <v>2</v>
      <v>Name</v>
      <v>LearnMoreOnLink</v>
    </spb>
    <spb s="7">
      <v>10</v>
      <v>2</v>
      <v>2</v>
      <v>10</v>
      <v>3</v>
      <v>10</v>
      <v>10</v>
      <v>10</v>
      <v>4</v>
      <v>4</v>
      <v>5</v>
      <v>6</v>
      <v>10</v>
      <v>10</v>
      <v>10</v>
      <v>4</v>
      <v>11</v>
      <v>9</v>
      <v>4</v>
      <v>10</v>
      <v>10</v>
      <v>5</v>
    </spb>
    <spb s="8">
      <v>10</v>
    </spb>
    <spb s="5">
      <v>10</v>
      <v>2</v>
      <v>2</v>
      <v>10</v>
      <v>3</v>
      <v>10</v>
      <v>10</v>
      <v>10</v>
      <v>4</v>
      <v>4</v>
      <v>5</v>
      <v>12</v>
      <v>10</v>
      <v>10</v>
      <v>10</v>
      <v>4</v>
      <v>11</v>
      <v>8</v>
      <v>9</v>
      <v>4</v>
      <v>10</v>
      <v>10</v>
      <v>5</v>
    </spb>
    <spb s="9">
      <v>3</v>
      <v>Name</v>
    </spb>
    <spb s="10">
      <v>1</v>
      <v>1</v>
      <v>1</v>
    </spb>
    <spb s="0">
      <v>4</v>
      <v>Name</v>
      <v>LearnMoreOnLink</v>
    </spb>
    <spb s="11">
      <v>1</v>
      <v>1</v>
      <v>1</v>
    </spb>
    <spb s="12">
      <v>3</v>
      <v>8</v>
      <v>8</v>
      <v>10</v>
      <v>10</v>
      <v>5</v>
      <v>7</v>
      <v>11</v>
      <v>9</v>
    </spb>
    <spb s="0">
      <v>5</v>
      <v>Name</v>
      <v>LearnMoreOnLink</v>
    </spb>
    <spb s="13">
      <v>1</v>
      <v>1</v>
      <v>1</v>
      <v>1</v>
    </spb>
    <spb s="14">
      <v>3</v>
      <v>10</v>
      <v>10</v>
      <v>4</v>
      <v>5</v>
      <v>6</v>
      <v>5</v>
      <v>5</v>
      <v>5</v>
      <v>5</v>
      <v>5</v>
      <v>5</v>
      <v>5</v>
      <v>5</v>
      <v>10</v>
      <v>11</v>
      <v>11</v>
      <v>9</v>
    </spb>
    <spb s="15">
      <v>from previous close</v>
      <v>from previous close</v>
      <v>GMT</v>
      <v>GMT</v>
    </spb>
    <spb s="16">
      <v>7</v>
      <v>10</v>
    </spb>
    <spb s="17">
      <v>7</v>
      <v>10</v>
    </spb>
    <spb s="18">
      <v>10</v>
      <v>7</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_Self" t="i"/>
  </s>
  <s>
    <k n="^Order" t="spba"/>
    <k n="TitleProperty" t="s"/>
  </s>
  <s>
    <k n="ExchangeID" t="spb"/>
    <k n="UniqueName" t="spb"/>
    <k n="`%ProviderInfo" t="spb"/>
  </s>
  <s>
    <k n="UniqueName" t="spb"/>
    <k n="`%ProviderInfo" t="spb"/>
    <k n="LearnMoreOnLink" t="spb"/>
  </s>
  <s>
    <k n="Name" t="i"/>
    <k n="Year" t="i"/>
    <k n="Month" t="i"/>
    <k n="Price" t="i"/>
    <k n="Change" t="i"/>
    <k n="Change (%)" t="i"/>
    <k n="Expiration Date" t="i"/>
    <k n="Last trade time" t="i"/>
    <k n="`%EntityServiceId" t="i"/>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Date" t="i"/>
    <k n="High" t="i"/>
  </s>
  <s>
    <k n="Date" t="i"/>
    <k n="Close" t="i"/>
  </s>
  <s>
    <k n="Low" t="i"/>
    <k n="Dat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x:dxf>
      <x:numFmt numFmtId="19" formatCode="m/d/yy"/>
    </x:dxf>
  </dxfs>
  <richProperties>
    <rPr n="NumberFormat" t="s"/>
    <rPr n="IsTitleField" t="b"/>
  </richProperties>
  <richStyles>
    <rSty dxfid="1">
      <rpv i="0">_([$€-x-euro2] * #,##0.00_);_([$€-x-euro2] * (#,##0.00);_([$€-x-euro2] * "-"??_);_(@_)</rpv>
    </rSty>
    <rSty dxfid="5">
      <rpv i="0">#,##0.00</rpv>
    </rSty>
    <rSty>
      <rpv i="1">1</rpv>
    </rSty>
    <rSty dxfid="4">
      <rpv i="0">#,##0</rpv>
    </rSty>
    <rSty dxfid="3"/>
    <rSty dxfid="1">
      <rpv i="0">_([$$-en-US]* #,##0_);_([$$-en-US]* (#,##0);_([$$-en-US]* "-"_);_(@_)</rpv>
    </rSty>
    <rSty dxfid="7"/>
    <rSty dxfid="6">
      <rpv i="0">0</rpv>
    </rSty>
    <rSty dxfid="0">
      <rpv i="0">0.00</rpv>
    </rSty>
    <rSty dxfid="1">
      <rpv i="0">_([$$-en-US]* #,##0.00_);_([$$-en-US]* (#,##0.00);_([$$-en-US]* "-"??_);_(@_)</rpv>
    </rSty>
    <rSty dxfid="2"/>
    <rSty dxfid="1">
      <rpv i="0">_([$$-en-CA]* #,##0_);_([$$-en-CA]* (#,##0);_([$$-en-CA]*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ebull.com/quote/bond-91282cpt2" TargetMode="External"/><Relationship Id="rId2" Type="http://schemas.openxmlformats.org/officeDocument/2006/relationships/hyperlink" Target="https://www.treasurydirect.gov/instit/annceresult/press/preanre/2026/R_20260112_2.pdf" TargetMode="External"/><Relationship Id="rId1" Type="http://schemas.openxmlformats.org/officeDocument/2006/relationships/hyperlink" Target="https://www.cnbc.com/quotes/US7Y"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google.com/finance/beta/quote/SIW00:COMEX?sa=X&amp;ved=2ahUKEwjMjrTMk_OSAxVWIUQIHdtlPUoQ3ecFegQIIx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8D31-3442-44E3-A046-20C7C69FE962}">
  <dimension ref="A1:P41"/>
  <sheetViews>
    <sheetView topLeftCell="A9" zoomScale="136" workbookViewId="0">
      <selection activeCell="C12" sqref="C12"/>
    </sheetView>
  </sheetViews>
  <sheetFormatPr baseColWidth="10" defaultColWidth="8.83203125" defaultRowHeight="15" x14ac:dyDescent="0.2"/>
  <cols>
    <col min="3" max="3" width="11.33203125" customWidth="1"/>
    <col min="4" max="5" width="12.6640625" customWidth="1"/>
    <col min="6" max="6" width="10.33203125" customWidth="1"/>
    <col min="7" max="8" width="11.1640625" customWidth="1"/>
    <col min="9" max="9" width="11" customWidth="1"/>
    <col min="10" max="10" width="10.1640625" customWidth="1"/>
    <col min="11" max="11" width="10.5" bestFit="1" customWidth="1"/>
    <col min="12" max="12" width="9.5" customWidth="1"/>
  </cols>
  <sheetData>
    <row r="1" spans="1:16" x14ac:dyDescent="0.2">
      <c r="A1" t="s">
        <v>0</v>
      </c>
      <c r="C1" t="s">
        <v>1</v>
      </c>
      <c r="P1" s="8"/>
    </row>
    <row r="2" spans="1:16" x14ac:dyDescent="0.2">
      <c r="A2" t="s">
        <v>2</v>
      </c>
      <c r="C2" s="4">
        <v>1000</v>
      </c>
      <c r="P2" s="8"/>
    </row>
    <row r="3" spans="1:16" x14ac:dyDescent="0.2">
      <c r="A3" t="s">
        <v>3</v>
      </c>
      <c r="C3" s="1">
        <v>3.875E-2</v>
      </c>
      <c r="P3" s="8"/>
    </row>
    <row r="4" spans="1:16" x14ac:dyDescent="0.2">
      <c r="A4" t="s">
        <v>4</v>
      </c>
      <c r="C4" s="2">
        <v>47483</v>
      </c>
      <c r="P4" s="8"/>
    </row>
    <row r="5" spans="1:16" x14ac:dyDescent="0.2">
      <c r="A5" t="s">
        <v>5</v>
      </c>
      <c r="C5" s="3" t="s">
        <v>6</v>
      </c>
      <c r="P5" s="8"/>
    </row>
    <row r="6" spans="1:16" x14ac:dyDescent="0.2">
      <c r="C6" t="s">
        <v>7</v>
      </c>
      <c r="D6" t="s">
        <v>8</v>
      </c>
      <c r="E6" t="s">
        <v>9</v>
      </c>
      <c r="F6" t="s">
        <v>10</v>
      </c>
      <c r="G6" t="s">
        <v>11</v>
      </c>
      <c r="H6" t="s">
        <v>12</v>
      </c>
      <c r="I6" t="s">
        <v>13</v>
      </c>
      <c r="J6" t="s">
        <v>14</v>
      </c>
      <c r="K6" t="s">
        <v>15</v>
      </c>
      <c r="P6" s="8"/>
    </row>
    <row r="7" spans="1:16" x14ac:dyDescent="0.2">
      <c r="P7" s="8"/>
    </row>
    <row r="8" spans="1:16" x14ac:dyDescent="0.2">
      <c r="A8" t="s">
        <v>16</v>
      </c>
      <c r="C8" s="1">
        <v>3.7999999999999999E-2</v>
      </c>
      <c r="D8" s="1">
        <v>3.49E-2</v>
      </c>
      <c r="E8" s="1">
        <v>3.4389999999999997E-2</v>
      </c>
      <c r="F8" s="1">
        <v>3.5560000000000001E-2</v>
      </c>
      <c r="G8" s="1">
        <v>3.4389999999999997E-2</v>
      </c>
      <c r="H8" s="1">
        <v>3.7909999999999999E-2</v>
      </c>
      <c r="I8" s="1">
        <v>3.9510000000000003E-2</v>
      </c>
      <c r="J8" s="1">
        <v>4.0309999999999999E-2</v>
      </c>
      <c r="K8" s="1">
        <v>4.2340000000000003E-2</v>
      </c>
      <c r="L8" s="1"/>
      <c r="P8" s="8"/>
    </row>
    <row r="9" spans="1:16" x14ac:dyDescent="0.2">
      <c r="A9" t="s">
        <v>17</v>
      </c>
      <c r="C9">
        <v>100.4688</v>
      </c>
      <c r="D9">
        <v>102.35939999999999</v>
      </c>
      <c r="E9">
        <v>102.67189999999999</v>
      </c>
      <c r="F9">
        <v>99.656199999999998</v>
      </c>
      <c r="G9">
        <v>100.35939999999999</v>
      </c>
      <c r="H9">
        <v>98.234399999999994</v>
      </c>
      <c r="I9">
        <v>97.281199999999998</v>
      </c>
      <c r="J9">
        <v>99.8125</v>
      </c>
      <c r="K9">
        <v>98.593800000000002</v>
      </c>
      <c r="P9" s="8"/>
    </row>
    <row r="10" spans="1:16" x14ac:dyDescent="0.2">
      <c r="A10" t="s">
        <v>18</v>
      </c>
      <c r="C10">
        <v>9</v>
      </c>
      <c r="D10">
        <v>9</v>
      </c>
      <c r="E10">
        <v>9</v>
      </c>
      <c r="F10">
        <v>9</v>
      </c>
      <c r="G10">
        <v>9</v>
      </c>
      <c r="H10">
        <v>9</v>
      </c>
      <c r="I10">
        <v>9</v>
      </c>
      <c r="J10">
        <v>9</v>
      </c>
      <c r="K10">
        <v>9</v>
      </c>
      <c r="P10" s="8"/>
    </row>
    <row r="11" spans="1:16" x14ac:dyDescent="0.2">
      <c r="A11" t="s">
        <v>19</v>
      </c>
      <c r="C11" s="4">
        <v>9000</v>
      </c>
      <c r="D11" s="4">
        <v>9000</v>
      </c>
      <c r="E11" s="4">
        <v>9000</v>
      </c>
      <c r="F11" s="4">
        <v>9000</v>
      </c>
      <c r="G11" s="4">
        <v>9000</v>
      </c>
      <c r="H11" s="4">
        <v>9000</v>
      </c>
      <c r="I11" s="4">
        <v>9000</v>
      </c>
      <c r="J11" s="4">
        <v>9000</v>
      </c>
      <c r="K11" s="4">
        <v>9000</v>
      </c>
      <c r="L11" s="4"/>
      <c r="P11" s="8"/>
    </row>
    <row r="12" spans="1:16" x14ac:dyDescent="0.2">
      <c r="A12" t="s">
        <v>20</v>
      </c>
      <c r="C12" s="5">
        <v>9042.1919999999991</v>
      </c>
      <c r="D12" s="5">
        <f t="shared" ref="D12:K12" si="0">D11*D9/100</f>
        <v>9212.3459999999995</v>
      </c>
      <c r="E12" s="5">
        <f t="shared" si="0"/>
        <v>9240.4709999999995</v>
      </c>
      <c r="F12" s="5">
        <f t="shared" si="0"/>
        <v>8969.0579999999991</v>
      </c>
      <c r="G12" s="5">
        <f t="shared" si="0"/>
        <v>9032.3459999999995</v>
      </c>
      <c r="H12" s="5">
        <f t="shared" si="0"/>
        <v>8841.0959999999995</v>
      </c>
      <c r="I12" s="5">
        <f t="shared" si="0"/>
        <v>8755.3079999999991</v>
      </c>
      <c r="J12" s="5">
        <f t="shared" si="0"/>
        <v>8983.125</v>
      </c>
      <c r="K12" s="5">
        <f t="shared" si="0"/>
        <v>8873.4420000000009</v>
      </c>
      <c r="L12" s="5"/>
      <c r="P12" s="8"/>
    </row>
    <row r="13" spans="1:16" x14ac:dyDescent="0.2">
      <c r="A13" t="s">
        <v>21</v>
      </c>
      <c r="C13" s="5">
        <f>10000-C12</f>
        <v>957.8080000000009</v>
      </c>
      <c r="D13" s="5">
        <f>C13</f>
        <v>957.8080000000009</v>
      </c>
      <c r="E13" s="5">
        <f>D13</f>
        <v>957.8080000000009</v>
      </c>
      <c r="F13" s="5">
        <f>E13</f>
        <v>957.8080000000009</v>
      </c>
      <c r="G13" s="5">
        <f>F13</f>
        <v>957.8080000000009</v>
      </c>
      <c r="H13" s="5">
        <f>G13</f>
        <v>957.8080000000009</v>
      </c>
      <c r="I13" s="5">
        <f t="shared" ref="I13:K13" si="1">H13</f>
        <v>957.8080000000009</v>
      </c>
      <c r="J13" s="5">
        <f t="shared" si="1"/>
        <v>957.8080000000009</v>
      </c>
      <c r="K13" s="5">
        <f t="shared" si="1"/>
        <v>957.8080000000009</v>
      </c>
      <c r="L13" s="5"/>
      <c r="P13" s="8"/>
    </row>
    <row r="14" spans="1:16" x14ac:dyDescent="0.2">
      <c r="I14" s="5"/>
      <c r="J14" s="5"/>
      <c r="K14" s="5"/>
      <c r="L14" s="5"/>
      <c r="P14" s="8"/>
    </row>
    <row r="15" spans="1:16" x14ac:dyDescent="0.2">
      <c r="A15" t="s">
        <v>22</v>
      </c>
      <c r="C15" t="s">
        <v>23</v>
      </c>
      <c r="D15" t="s">
        <v>24</v>
      </c>
      <c r="E15" t="s">
        <v>24</v>
      </c>
      <c r="F15" t="s">
        <v>24</v>
      </c>
      <c r="G15" t="s">
        <v>25</v>
      </c>
      <c r="H15" t="s">
        <v>26</v>
      </c>
      <c r="I15" t="s">
        <v>27</v>
      </c>
      <c r="J15" t="s">
        <v>28</v>
      </c>
      <c r="K15" t="s">
        <v>29</v>
      </c>
      <c r="P15" s="8"/>
    </row>
    <row r="16" spans="1:16" x14ac:dyDescent="0.2">
      <c r="P16" s="8"/>
    </row>
    <row r="17" spans="1:16" x14ac:dyDescent="0.2">
      <c r="A17" t="s">
        <v>30</v>
      </c>
      <c r="D17" s="5">
        <f>(D9-C9)*D10</f>
        <v>17.015399999999929</v>
      </c>
      <c r="E17" s="5">
        <f t="shared" ref="E17:K17" si="2">(E9-D9)*E10</f>
        <v>2.8125</v>
      </c>
      <c r="F17" s="5">
        <f t="shared" si="2"/>
        <v>-27.141299999999958</v>
      </c>
      <c r="G17" s="5">
        <f t="shared" si="2"/>
        <v>6.3287999999999585</v>
      </c>
      <c r="H17" s="5">
        <f t="shared" si="2"/>
        <v>-19.125</v>
      </c>
      <c r="I17" s="5">
        <f t="shared" si="2"/>
        <v>-8.5787999999999585</v>
      </c>
      <c r="J17" s="5">
        <f t="shared" si="2"/>
        <v>22.781700000000015</v>
      </c>
      <c r="K17" s="5">
        <f t="shared" si="2"/>
        <v>-10.968299999999985</v>
      </c>
      <c r="L17" s="5"/>
      <c r="P17" s="8"/>
    </row>
    <row r="18" spans="1:16" x14ac:dyDescent="0.2">
      <c r="A18" t="s">
        <v>31</v>
      </c>
      <c r="D18" s="5">
        <f>(D9-$C9)*D10</f>
        <v>17.015399999999929</v>
      </c>
      <c r="E18" s="5">
        <f t="shared" ref="E18:K18" si="3">(E9-$C9)*E10</f>
        <v>19.827899999999929</v>
      </c>
      <c r="F18" s="5">
        <f t="shared" si="3"/>
        <v>-7.3134000000000299</v>
      </c>
      <c r="G18" s="5">
        <f t="shared" si="3"/>
        <v>-0.98460000000007142</v>
      </c>
      <c r="H18" s="5">
        <f t="shared" si="3"/>
        <v>-20.109600000000071</v>
      </c>
      <c r="I18" s="5">
        <f t="shared" si="3"/>
        <v>-28.68840000000003</v>
      </c>
      <c r="J18" s="5">
        <f t="shared" si="3"/>
        <v>-5.9067000000000149</v>
      </c>
      <c r="K18" s="5">
        <f t="shared" si="3"/>
        <v>-16.875</v>
      </c>
      <c r="L18" s="5"/>
      <c r="P18" s="8"/>
    </row>
    <row r="19" spans="1:16" x14ac:dyDescent="0.2">
      <c r="P19" s="8"/>
    </row>
    <row r="20" spans="1:16" x14ac:dyDescent="0.2">
      <c r="A20" s="8"/>
      <c r="B20" s="8"/>
      <c r="C20" s="8"/>
      <c r="D20" s="8"/>
      <c r="E20" s="8"/>
      <c r="F20" s="8"/>
      <c r="G20" s="8"/>
      <c r="H20" s="8"/>
      <c r="I20" s="8"/>
      <c r="J20" s="8"/>
      <c r="K20" s="8"/>
      <c r="L20" s="8"/>
      <c r="M20" s="8"/>
      <c r="N20" s="8"/>
      <c r="O20" s="8"/>
      <c r="P20" s="8"/>
    </row>
    <row r="22" spans="1:16" x14ac:dyDescent="0.2">
      <c r="A22" s="11" t="s">
        <v>32</v>
      </c>
      <c r="B22" s="11"/>
      <c r="C22" s="11" t="s">
        <v>33</v>
      </c>
      <c r="D22" s="11"/>
      <c r="E22" s="11"/>
      <c r="F22" s="11"/>
      <c r="G22" s="11"/>
      <c r="H22" s="11"/>
      <c r="I22" s="11"/>
      <c r="J22" s="11"/>
      <c r="K22" s="11"/>
    </row>
    <row r="23" spans="1:16" x14ac:dyDescent="0.2">
      <c r="A23" s="11"/>
      <c r="B23" s="11"/>
      <c r="C23" s="11"/>
      <c r="D23" s="11"/>
      <c r="E23" s="11"/>
      <c r="F23" s="11"/>
      <c r="G23" s="11"/>
      <c r="H23" s="11"/>
      <c r="I23" s="11"/>
      <c r="J23" s="11"/>
      <c r="K23" s="11"/>
    </row>
    <row r="24" spans="1:16" x14ac:dyDescent="0.2">
      <c r="A24" s="11" t="s">
        <v>0</v>
      </c>
      <c r="B24" s="11"/>
      <c r="C24" s="11" t="s">
        <v>34</v>
      </c>
      <c r="D24" s="11"/>
      <c r="E24" s="11"/>
      <c r="F24" s="11"/>
      <c r="G24" s="11"/>
      <c r="H24" s="11"/>
      <c r="I24" s="11"/>
      <c r="J24" s="11"/>
      <c r="K24" s="11"/>
    </row>
    <row r="25" spans="1:16" x14ac:dyDescent="0.2">
      <c r="A25" s="11" t="s">
        <v>2</v>
      </c>
      <c r="B25" s="11"/>
      <c r="C25" s="12">
        <v>10000</v>
      </c>
      <c r="D25" s="11"/>
      <c r="E25" s="11"/>
      <c r="F25" s="11"/>
      <c r="G25" s="11"/>
      <c r="H25" s="11"/>
      <c r="I25" s="11"/>
      <c r="J25" s="11"/>
      <c r="K25" s="11"/>
    </row>
    <row r="26" spans="1:16" x14ac:dyDescent="0.2">
      <c r="A26" s="11" t="s">
        <v>3</v>
      </c>
      <c r="B26" s="11"/>
      <c r="C26" s="13">
        <v>3.5000000000000003E-2</v>
      </c>
      <c r="D26" s="11"/>
      <c r="E26" s="11"/>
      <c r="F26" s="11"/>
      <c r="G26" s="11"/>
      <c r="H26" s="11"/>
      <c r="I26" s="11"/>
      <c r="J26" s="11"/>
      <c r="K26" s="11"/>
    </row>
    <row r="27" spans="1:16" x14ac:dyDescent="0.2">
      <c r="A27" s="11" t="s">
        <v>4</v>
      </c>
      <c r="B27" s="11"/>
      <c r="C27" s="14">
        <v>47133</v>
      </c>
      <c r="D27" s="11"/>
      <c r="E27" s="11"/>
      <c r="F27" s="11"/>
      <c r="G27" s="11"/>
      <c r="H27" s="11"/>
      <c r="I27" s="11"/>
      <c r="J27" s="11"/>
      <c r="K27" s="11"/>
    </row>
    <row r="28" spans="1:16" x14ac:dyDescent="0.2">
      <c r="A28" s="11" t="s">
        <v>5</v>
      </c>
      <c r="B28" s="11"/>
      <c r="C28" s="15" t="s">
        <v>35</v>
      </c>
      <c r="D28" s="11"/>
      <c r="E28" s="11"/>
      <c r="F28" s="11"/>
      <c r="G28" s="11"/>
      <c r="H28" s="11"/>
      <c r="I28" s="11"/>
      <c r="J28" s="15" t="s">
        <v>104</v>
      </c>
      <c r="K28" s="11"/>
    </row>
    <row r="29" spans="1:16" x14ac:dyDescent="0.2">
      <c r="A29" s="11"/>
      <c r="B29" s="11"/>
      <c r="C29" s="11" t="s">
        <v>7</v>
      </c>
      <c r="D29" s="11" t="s">
        <v>8</v>
      </c>
      <c r="E29" s="11" t="s">
        <v>9</v>
      </c>
      <c r="F29" s="11" t="s">
        <v>10</v>
      </c>
      <c r="G29" s="11" t="s">
        <v>11</v>
      </c>
      <c r="H29" s="11" t="s">
        <v>12</v>
      </c>
      <c r="I29" s="11" t="s">
        <v>13</v>
      </c>
      <c r="J29" s="11" t="s">
        <v>14</v>
      </c>
      <c r="K29" s="11" t="s">
        <v>15</v>
      </c>
    </row>
    <row r="30" spans="1:16" x14ac:dyDescent="0.2">
      <c r="A30" s="11"/>
      <c r="B30" s="11"/>
      <c r="C30" s="11"/>
      <c r="D30" s="11"/>
      <c r="E30" s="11"/>
      <c r="F30" s="11"/>
      <c r="G30" s="11"/>
      <c r="H30" s="11"/>
      <c r="I30" s="11"/>
      <c r="J30" s="11"/>
      <c r="K30" s="11"/>
    </row>
    <row r="31" spans="1:16" x14ac:dyDescent="0.2">
      <c r="A31" s="11" t="s">
        <v>16</v>
      </c>
      <c r="B31" s="11"/>
      <c r="C31" s="13">
        <v>3.56E-2</v>
      </c>
      <c r="D31" s="13"/>
      <c r="E31" s="13"/>
      <c r="F31" s="13"/>
      <c r="G31" s="13"/>
      <c r="H31" s="13"/>
      <c r="I31" s="13"/>
      <c r="J31" s="13"/>
      <c r="K31" s="13"/>
      <c r="L31" s="1"/>
    </row>
    <row r="32" spans="1:16" x14ac:dyDescent="0.2">
      <c r="A32" s="11" t="s">
        <v>17</v>
      </c>
      <c r="B32" s="11"/>
      <c r="C32" s="11">
        <v>99.69</v>
      </c>
      <c r="D32" s="11">
        <v>99.8</v>
      </c>
      <c r="E32" s="11">
        <v>99.55</v>
      </c>
      <c r="F32" s="11">
        <v>99.68</v>
      </c>
      <c r="G32" s="11">
        <v>99.84</v>
      </c>
      <c r="H32" s="11">
        <v>100.15</v>
      </c>
      <c r="I32" s="11">
        <v>100.107</v>
      </c>
      <c r="J32" s="11">
        <v>100.054</v>
      </c>
      <c r="K32" s="11">
        <v>99.84</v>
      </c>
    </row>
    <row r="33" spans="1:12" x14ac:dyDescent="0.2">
      <c r="A33" s="11" t="s">
        <v>18</v>
      </c>
      <c r="B33" s="11"/>
      <c r="C33" s="11">
        <v>10</v>
      </c>
      <c r="D33" s="11"/>
      <c r="E33" s="11"/>
      <c r="F33" s="11"/>
      <c r="G33" s="11"/>
      <c r="H33" s="11"/>
      <c r="I33" s="11"/>
      <c r="J33" s="11"/>
      <c r="K33" s="11"/>
    </row>
    <row r="34" spans="1:12" x14ac:dyDescent="0.2">
      <c r="A34" s="11" t="s">
        <v>19</v>
      </c>
      <c r="B34" s="11"/>
      <c r="C34" s="12">
        <v>10000</v>
      </c>
      <c r="D34" s="12"/>
      <c r="E34" s="12"/>
      <c r="F34" s="12"/>
      <c r="G34" s="12"/>
      <c r="H34" s="12"/>
      <c r="I34" s="12"/>
      <c r="J34" s="12"/>
      <c r="K34" s="12"/>
      <c r="L34" s="4"/>
    </row>
    <row r="35" spans="1:12" x14ac:dyDescent="0.2">
      <c r="A35" s="11" t="s">
        <v>20</v>
      </c>
      <c r="B35" s="11"/>
      <c r="C35" s="16">
        <v>9969</v>
      </c>
      <c r="D35" s="16">
        <v>9980</v>
      </c>
      <c r="E35" s="16">
        <v>9950</v>
      </c>
      <c r="F35" s="16">
        <f>F32*100</f>
        <v>9968</v>
      </c>
      <c r="G35" s="16">
        <f>G32*100</f>
        <v>9984</v>
      </c>
      <c r="H35" s="16">
        <f>H32*100</f>
        <v>10015</v>
      </c>
      <c r="I35" s="16">
        <f>I32*100</f>
        <v>10010.700000000001</v>
      </c>
      <c r="J35" s="16">
        <f>J32*100</f>
        <v>10005.4</v>
      </c>
      <c r="K35" s="16">
        <f>K32*100</f>
        <v>9984</v>
      </c>
      <c r="L35" s="5"/>
    </row>
    <row r="36" spans="1:12" x14ac:dyDescent="0.2">
      <c r="A36" s="11" t="s">
        <v>21</v>
      </c>
      <c r="B36" s="11"/>
      <c r="C36" s="16">
        <v>31</v>
      </c>
      <c r="D36" s="16"/>
      <c r="E36" s="16"/>
      <c r="F36" s="16"/>
      <c r="G36" s="16"/>
      <c r="H36" s="16"/>
      <c r="I36" s="16"/>
      <c r="J36" s="16"/>
      <c r="K36" s="16"/>
      <c r="L36" s="5"/>
    </row>
    <row r="37" spans="1:12" x14ac:dyDescent="0.2">
      <c r="A37" s="11"/>
      <c r="B37" s="11"/>
      <c r="C37" s="11"/>
      <c r="D37" s="11"/>
      <c r="E37" s="11"/>
      <c r="F37" s="11"/>
      <c r="G37" s="11"/>
      <c r="H37" s="11"/>
      <c r="I37" s="16"/>
      <c r="J37" s="16"/>
      <c r="K37" s="16"/>
      <c r="L37" s="5"/>
    </row>
    <row r="38" spans="1:12" x14ac:dyDescent="0.2">
      <c r="A38" s="11" t="s">
        <v>22</v>
      </c>
      <c r="B38" s="11"/>
      <c r="C38" s="20" t="s">
        <v>98</v>
      </c>
      <c r="D38" s="20" t="s">
        <v>97</v>
      </c>
      <c r="E38" s="20" t="s">
        <v>99</v>
      </c>
      <c r="F38" s="11" t="s">
        <v>109</v>
      </c>
      <c r="G38" s="11" t="s">
        <v>110</v>
      </c>
      <c r="H38" s="11" t="s">
        <v>114</v>
      </c>
      <c r="I38" s="11" t="s">
        <v>113</v>
      </c>
      <c r="J38" s="11" t="s">
        <v>119</v>
      </c>
      <c r="K38" s="11" t="s">
        <v>120</v>
      </c>
    </row>
    <row r="39" spans="1:12" x14ac:dyDescent="0.2">
      <c r="A39" s="11"/>
      <c r="B39" s="11"/>
      <c r="C39" s="11"/>
      <c r="D39" s="11"/>
      <c r="E39" s="11"/>
      <c r="F39" s="11"/>
      <c r="G39" s="11"/>
      <c r="H39" s="11"/>
      <c r="I39" s="11"/>
      <c r="J39" s="11"/>
      <c r="K39" s="11"/>
    </row>
    <row r="40" spans="1:12" x14ac:dyDescent="0.2">
      <c r="A40" s="11" t="s">
        <v>30</v>
      </c>
      <c r="B40" s="11"/>
      <c r="C40" s="11">
        <v>0</v>
      </c>
      <c r="D40" s="16">
        <f t="shared" ref="D40:K40" si="4">D35-C35</f>
        <v>11</v>
      </c>
      <c r="E40" s="16">
        <f t="shared" si="4"/>
        <v>-30</v>
      </c>
      <c r="F40" s="16">
        <f t="shared" si="4"/>
        <v>18</v>
      </c>
      <c r="G40" s="16">
        <f t="shared" si="4"/>
        <v>16</v>
      </c>
      <c r="H40" s="16">
        <f t="shared" si="4"/>
        <v>31</v>
      </c>
      <c r="I40" s="16">
        <f t="shared" si="4"/>
        <v>-4.2999999999992724</v>
      </c>
      <c r="J40" s="16">
        <f t="shared" si="4"/>
        <v>-5.3000000000010914</v>
      </c>
      <c r="K40" s="16">
        <f t="shared" si="4"/>
        <v>-21.399999999999636</v>
      </c>
    </row>
    <row r="41" spans="1:12" x14ac:dyDescent="0.2">
      <c r="A41" s="11" t="s">
        <v>31</v>
      </c>
      <c r="B41" s="11"/>
      <c r="C41" s="11">
        <v>0</v>
      </c>
      <c r="D41" s="16">
        <f t="shared" ref="D41:K41" si="5">D35-$C$35</f>
        <v>11</v>
      </c>
      <c r="E41" s="16">
        <f t="shared" si="5"/>
        <v>-19</v>
      </c>
      <c r="F41" s="16">
        <f t="shared" si="5"/>
        <v>-1</v>
      </c>
      <c r="G41" s="16">
        <f t="shared" si="5"/>
        <v>15</v>
      </c>
      <c r="H41" s="16">
        <f t="shared" si="5"/>
        <v>46</v>
      </c>
      <c r="I41" s="16">
        <f t="shared" si="5"/>
        <v>41.700000000000728</v>
      </c>
      <c r="J41" s="16">
        <f t="shared" si="5"/>
        <v>36.399999999999636</v>
      </c>
      <c r="K41" s="16">
        <f t="shared" si="5"/>
        <v>15</v>
      </c>
    </row>
  </sheetData>
  <conditionalFormatting sqref="D17:L18">
    <cfRule type="cellIs" dxfId="83" priority="15" operator="lessThan">
      <formula>0</formula>
    </cfRule>
    <cfRule type="cellIs" dxfId="82" priority="16" operator="greaterThan">
      <formula>0</formula>
    </cfRule>
  </conditionalFormatting>
  <conditionalFormatting sqref="I14:L14">
    <cfRule type="cellIs" dxfId="81" priority="9" operator="lessThan">
      <formula>0</formula>
    </cfRule>
    <cfRule type="cellIs" dxfId="80" priority="10" operator="greaterThan">
      <formula>0</formula>
    </cfRule>
  </conditionalFormatting>
  <conditionalFormatting sqref="I37:L37">
    <cfRule type="cellIs" dxfId="79" priority="1" operator="lessThan">
      <formula>0</formula>
    </cfRule>
    <cfRule type="cellIs" dxfId="78" priority="2" operator="greaterThan">
      <formula>0</formula>
    </cfRule>
  </conditionalFormatting>
  <hyperlinks>
    <hyperlink ref="C5" r:id="rId1" display="https://www.cnbc.com/quotes/US7Y" xr:uid="{EC04AF74-536C-46C1-92B5-6FF0C85D4D9C}"/>
    <hyperlink ref="C28" r:id="rId2" xr:uid="{4C56F92E-DCF5-3444-8DF6-A4BE93E03B69}"/>
    <hyperlink ref="J28" r:id="rId3" xr:uid="{7CA65747-5CE8-C148-9150-470CA3661609}"/>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A43C-43FC-478F-BD18-2F51F07973E2}">
  <dimension ref="A1:P43"/>
  <sheetViews>
    <sheetView topLeftCell="A8" zoomScale="135" workbookViewId="0">
      <selection activeCell="E10" sqref="E10"/>
    </sheetView>
  </sheetViews>
  <sheetFormatPr baseColWidth="10" defaultColWidth="8.83203125" defaultRowHeight="15" x14ac:dyDescent="0.2"/>
  <cols>
    <col min="2" max="2" width="11.5" customWidth="1"/>
    <col min="3" max="3" width="10.5" customWidth="1"/>
    <col min="4" max="4" width="11.5" customWidth="1"/>
    <col min="5" max="5" width="10.6640625" customWidth="1"/>
    <col min="6" max="6" width="11.5" customWidth="1"/>
    <col min="7" max="7" width="14.6640625" customWidth="1"/>
    <col min="8" max="8" width="10.1640625" bestFit="1" customWidth="1"/>
    <col min="9" max="9" width="9.83203125" bestFit="1" customWidth="1"/>
    <col min="10" max="10" width="11.33203125" customWidth="1"/>
    <col min="11" max="11" width="10.5" customWidth="1"/>
    <col min="12" max="12" width="10.83203125" customWidth="1"/>
    <col min="13" max="13" width="10" customWidth="1"/>
  </cols>
  <sheetData>
    <row r="1" spans="1:16" x14ac:dyDescent="0.2">
      <c r="A1" t="s">
        <v>36</v>
      </c>
      <c r="C1" t="s">
        <v>37</v>
      </c>
      <c r="P1" s="8"/>
    </row>
    <row r="2" spans="1:16" x14ac:dyDescent="0.2">
      <c r="A2" t="s">
        <v>38</v>
      </c>
      <c r="D2">
        <v>250</v>
      </c>
      <c r="P2" s="8"/>
    </row>
    <row r="3" spans="1:16" x14ac:dyDescent="0.2">
      <c r="A3" t="s">
        <v>5</v>
      </c>
      <c r="C3" s="4"/>
      <c r="P3" s="8"/>
    </row>
    <row r="4" spans="1:16" x14ac:dyDescent="0.2">
      <c r="C4" s="1"/>
      <c r="P4" s="8"/>
    </row>
    <row r="5" spans="1:16" x14ac:dyDescent="0.2">
      <c r="C5" s="2"/>
      <c r="P5" s="8"/>
    </row>
    <row r="6" spans="1:16" x14ac:dyDescent="0.2">
      <c r="C6" s="3"/>
      <c r="P6" s="8"/>
    </row>
    <row r="7" spans="1:16" x14ac:dyDescent="0.2">
      <c r="D7" t="s">
        <v>7</v>
      </c>
      <c r="E7" t="s">
        <v>8</v>
      </c>
      <c r="F7" t="s">
        <v>9</v>
      </c>
      <c r="G7" t="s">
        <v>10</v>
      </c>
      <c r="H7" t="s">
        <v>11</v>
      </c>
      <c r="I7" t="s">
        <v>12</v>
      </c>
      <c r="J7" t="s">
        <v>13</v>
      </c>
      <c r="K7" t="s">
        <v>14</v>
      </c>
      <c r="L7" t="s">
        <v>15</v>
      </c>
      <c r="P7" s="8"/>
    </row>
    <row r="8" spans="1:16" x14ac:dyDescent="0.2">
      <c r="A8" t="s">
        <v>8</v>
      </c>
      <c r="B8" t="s">
        <v>17</v>
      </c>
      <c r="D8" s="5"/>
      <c r="E8" s="5">
        <v>39.840000000000003</v>
      </c>
      <c r="F8" s="5">
        <v>38.340000000000003</v>
      </c>
      <c r="G8" s="5">
        <v>39.19</v>
      </c>
      <c r="H8" s="5">
        <v>39.71</v>
      </c>
      <c r="I8" s="5">
        <v>38.909999999999997</v>
      </c>
      <c r="J8" s="5">
        <v>38.35</v>
      </c>
      <c r="K8" s="5">
        <v>37.549999999999997</v>
      </c>
      <c r="L8" s="5">
        <v>38.42</v>
      </c>
      <c r="M8" s="5"/>
      <c r="P8" s="8"/>
    </row>
    <row r="9" spans="1:16" x14ac:dyDescent="0.2">
      <c r="P9" s="8"/>
    </row>
    <row r="10" spans="1:16" x14ac:dyDescent="0.2">
      <c r="B10" t="s">
        <v>20</v>
      </c>
      <c r="D10" s="5"/>
      <c r="E10" s="5">
        <f>E8*$D2</f>
        <v>9960</v>
      </c>
      <c r="F10" s="5">
        <f t="shared" ref="F10:L10" si="0">F8*$D2</f>
        <v>9585</v>
      </c>
      <c r="G10" s="5">
        <f t="shared" si="0"/>
        <v>9797.5</v>
      </c>
      <c r="H10" s="5">
        <f t="shared" si="0"/>
        <v>9927.5</v>
      </c>
      <c r="I10" s="5">
        <f t="shared" si="0"/>
        <v>9727.5</v>
      </c>
      <c r="J10" s="5">
        <f t="shared" si="0"/>
        <v>9587.5</v>
      </c>
      <c r="K10" s="5">
        <f t="shared" si="0"/>
        <v>9387.5</v>
      </c>
      <c r="L10" s="5">
        <f t="shared" si="0"/>
        <v>9605</v>
      </c>
      <c r="M10" s="5"/>
      <c r="P10" s="8"/>
    </row>
    <row r="11" spans="1:16" x14ac:dyDescent="0.2">
      <c r="B11" t="s">
        <v>39</v>
      </c>
      <c r="D11" s="5">
        <v>10000</v>
      </c>
      <c r="E11" s="5">
        <f>D11-E10</f>
        <v>40</v>
      </c>
      <c r="F11" s="5">
        <f t="shared" ref="F11:G11" si="1">E11</f>
        <v>40</v>
      </c>
      <c r="G11" s="5">
        <f t="shared" si="1"/>
        <v>40</v>
      </c>
      <c r="H11" s="5">
        <f t="shared" ref="H11:L11" si="2">G11</f>
        <v>40</v>
      </c>
      <c r="I11" s="5">
        <f t="shared" si="2"/>
        <v>40</v>
      </c>
      <c r="J11" s="5">
        <f t="shared" si="2"/>
        <v>40</v>
      </c>
      <c r="K11" s="5">
        <f t="shared" si="2"/>
        <v>40</v>
      </c>
      <c r="L11" s="5">
        <f t="shared" si="2"/>
        <v>40</v>
      </c>
      <c r="M11" s="5"/>
      <c r="P11" s="8"/>
    </row>
    <row r="12" spans="1:16" x14ac:dyDescent="0.2">
      <c r="P12" s="8"/>
    </row>
    <row r="13" spans="1:16" x14ac:dyDescent="0.2">
      <c r="P13" s="8"/>
    </row>
    <row r="14" spans="1:16" x14ac:dyDescent="0.2">
      <c r="P14" s="8"/>
    </row>
    <row r="15" spans="1:16" x14ac:dyDescent="0.2">
      <c r="P15" s="8"/>
    </row>
    <row r="16" spans="1:16" x14ac:dyDescent="0.2">
      <c r="P16" s="8"/>
    </row>
    <row r="17" spans="1:16" x14ac:dyDescent="0.2">
      <c r="P17" s="8"/>
    </row>
    <row r="18" spans="1:16" x14ac:dyDescent="0.2">
      <c r="A18" t="s">
        <v>30</v>
      </c>
      <c r="E18" s="5"/>
      <c r="F18" s="5">
        <f t="shared" ref="F18" si="3">F10-E10</f>
        <v>-375</v>
      </c>
      <c r="G18" s="5">
        <f t="shared" ref="G18:L18" si="4">G10-F10</f>
        <v>212.5</v>
      </c>
      <c r="H18" s="5">
        <f t="shared" si="4"/>
        <v>130</v>
      </c>
      <c r="I18" s="5">
        <f t="shared" si="4"/>
        <v>-200</v>
      </c>
      <c r="J18" s="5">
        <f t="shared" si="4"/>
        <v>-140</v>
      </c>
      <c r="K18" s="5">
        <f t="shared" si="4"/>
        <v>-200</v>
      </c>
      <c r="L18" s="5">
        <f t="shared" si="4"/>
        <v>217.5</v>
      </c>
      <c r="M18" s="5"/>
      <c r="P18" s="8"/>
    </row>
    <row r="19" spans="1:16" x14ac:dyDescent="0.2">
      <c r="A19" t="s">
        <v>31</v>
      </c>
      <c r="E19" s="5"/>
      <c r="F19" s="5">
        <f>F10-$E10</f>
        <v>-375</v>
      </c>
      <c r="G19" s="5">
        <f t="shared" ref="G19:L19" si="5">G10-$E10</f>
        <v>-162.5</v>
      </c>
      <c r="H19" s="5">
        <f t="shared" si="5"/>
        <v>-32.5</v>
      </c>
      <c r="I19" s="5">
        <f t="shared" si="5"/>
        <v>-232.5</v>
      </c>
      <c r="J19" s="5">
        <f t="shared" si="5"/>
        <v>-372.5</v>
      </c>
      <c r="K19" s="5">
        <f t="shared" si="5"/>
        <v>-572.5</v>
      </c>
      <c r="L19" s="5">
        <f t="shared" si="5"/>
        <v>-355</v>
      </c>
      <c r="M19" s="5"/>
      <c r="P19" s="8"/>
    </row>
    <row r="20" spans="1:16" x14ac:dyDescent="0.2">
      <c r="P20" s="8"/>
    </row>
    <row r="21" spans="1:16" x14ac:dyDescent="0.2">
      <c r="A21" s="8"/>
      <c r="B21" s="8"/>
      <c r="C21" s="8"/>
      <c r="D21" s="8"/>
      <c r="E21" s="8"/>
      <c r="F21" s="8"/>
      <c r="G21" s="8"/>
      <c r="H21" s="8"/>
      <c r="I21" s="8"/>
      <c r="J21" s="8"/>
      <c r="K21" s="8"/>
      <c r="L21" s="8"/>
      <c r="M21" s="8"/>
      <c r="N21" s="8"/>
      <c r="O21" s="8"/>
      <c r="P21" s="8"/>
    </row>
    <row r="23" spans="1:16" x14ac:dyDescent="0.2">
      <c r="A23" s="11" t="s">
        <v>32</v>
      </c>
      <c r="B23" s="11"/>
      <c r="C23" s="11"/>
      <c r="D23" s="11" t="s">
        <v>95</v>
      </c>
      <c r="E23" s="11"/>
      <c r="F23" s="11"/>
      <c r="G23" s="11"/>
      <c r="H23" s="11"/>
      <c r="I23" s="11"/>
      <c r="J23" s="11"/>
      <c r="K23" s="11"/>
      <c r="L23" s="11"/>
    </row>
    <row r="24" spans="1:16" x14ac:dyDescent="0.2">
      <c r="A24" s="11"/>
      <c r="B24" s="11"/>
      <c r="C24" s="11"/>
      <c r="D24" s="11"/>
      <c r="E24" s="11"/>
      <c r="F24" s="11"/>
      <c r="G24" s="11"/>
      <c r="H24" s="11"/>
      <c r="I24" s="11"/>
      <c r="J24" s="11"/>
      <c r="K24" s="11"/>
      <c r="L24" s="11"/>
    </row>
    <row r="25" spans="1:16" x14ac:dyDescent="0.2">
      <c r="A25" s="11" t="s">
        <v>36</v>
      </c>
      <c r="B25" s="11"/>
      <c r="C25" s="11"/>
      <c r="D25" s="11" t="e" vm="1">
        <v>#VALUE!</v>
      </c>
      <c r="E25" s="11"/>
      <c r="F25" s="11"/>
      <c r="G25" s="11"/>
      <c r="H25" s="11"/>
      <c r="I25" s="11"/>
      <c r="J25" s="11"/>
      <c r="K25" s="11"/>
      <c r="L25" s="11"/>
    </row>
    <row r="26" spans="1:16" x14ac:dyDescent="0.2">
      <c r="A26" s="11" t="s">
        <v>38</v>
      </c>
      <c r="B26" s="11"/>
      <c r="C26" s="11"/>
      <c r="D26" s="11">
        <v>59</v>
      </c>
      <c r="E26" s="11"/>
      <c r="F26" s="11"/>
      <c r="G26" s="11"/>
      <c r="H26" s="11"/>
      <c r="I26" s="11"/>
      <c r="J26" s="11"/>
      <c r="K26" s="11"/>
      <c r="L26" s="11"/>
    </row>
    <row r="27" spans="1:16" x14ac:dyDescent="0.2">
      <c r="A27" s="11"/>
      <c r="B27" s="11"/>
      <c r="C27" s="13"/>
      <c r="D27" s="11"/>
      <c r="E27" s="11"/>
      <c r="F27" s="11"/>
      <c r="G27" s="11"/>
      <c r="H27" s="11"/>
      <c r="I27" s="11"/>
      <c r="J27" s="11"/>
      <c r="K27" s="11"/>
      <c r="L27" s="11"/>
    </row>
    <row r="28" spans="1:16" x14ac:dyDescent="0.2">
      <c r="A28" s="11" t="s">
        <v>5</v>
      </c>
      <c r="B28" s="11"/>
      <c r="C28" s="14"/>
      <c r="D28" s="11"/>
      <c r="E28" s="11"/>
      <c r="F28" s="11"/>
      <c r="G28" s="11"/>
      <c r="H28" s="11"/>
      <c r="I28" s="11"/>
      <c r="J28" s="11"/>
      <c r="K28" s="11"/>
      <c r="L28" s="11"/>
    </row>
    <row r="29" spans="1:16" x14ac:dyDescent="0.2">
      <c r="A29" s="11"/>
      <c r="B29" s="11"/>
      <c r="C29" s="15"/>
      <c r="D29" s="11"/>
      <c r="E29" s="11"/>
      <c r="F29" s="11"/>
      <c r="G29" s="11"/>
      <c r="H29" s="11"/>
      <c r="I29" s="11"/>
      <c r="J29" s="11"/>
      <c r="K29" s="11"/>
      <c r="L29" s="11"/>
    </row>
    <row r="30" spans="1:16" x14ac:dyDescent="0.2">
      <c r="A30" s="11"/>
      <c r="B30" s="11"/>
      <c r="C30" s="11"/>
      <c r="D30" s="11"/>
      <c r="E30" s="11" t="s">
        <v>8</v>
      </c>
      <c r="F30" s="11" t="s">
        <v>9</v>
      </c>
      <c r="G30" s="11" t="s">
        <v>10</v>
      </c>
      <c r="H30" s="11" t="s">
        <v>11</v>
      </c>
      <c r="I30" s="11" t="s">
        <v>12</v>
      </c>
      <c r="J30" s="11" t="s">
        <v>13</v>
      </c>
      <c r="K30" s="11" t="s">
        <v>14</v>
      </c>
      <c r="L30" s="11" t="s">
        <v>15</v>
      </c>
    </row>
    <row r="31" spans="1:16" x14ac:dyDescent="0.2">
      <c r="A31" s="11" t="s">
        <v>8</v>
      </c>
      <c r="B31" s="11" t="s">
        <v>17</v>
      </c>
      <c r="C31" s="11"/>
      <c r="D31" s="33"/>
      <c r="E31" s="16">
        <v>168.58</v>
      </c>
      <c r="F31" s="16">
        <v>168.79</v>
      </c>
      <c r="G31" s="16">
        <v>149.59</v>
      </c>
      <c r="H31" s="16">
        <v>144.82</v>
      </c>
      <c r="I31" s="16">
        <v>133.88</v>
      </c>
      <c r="J31" s="16">
        <v>129.1</v>
      </c>
      <c r="K31" s="16">
        <v>145.21</v>
      </c>
      <c r="L31" s="16">
        <v>157.09</v>
      </c>
      <c r="M31" s="5"/>
    </row>
    <row r="32" spans="1:16" x14ac:dyDescent="0.2">
      <c r="A32" s="11"/>
      <c r="B32" s="11"/>
      <c r="C32" s="11"/>
      <c r="D32" s="11"/>
      <c r="E32" s="11"/>
      <c r="F32" s="11"/>
      <c r="G32" s="11"/>
      <c r="H32" s="11"/>
      <c r="I32" s="11"/>
      <c r="J32" s="11"/>
      <c r="K32" s="11"/>
      <c r="L32" s="11"/>
    </row>
    <row r="33" spans="1:13" x14ac:dyDescent="0.2">
      <c r="A33" s="11"/>
      <c r="B33" s="11" t="s">
        <v>20</v>
      </c>
      <c r="C33" s="11"/>
      <c r="D33" s="16"/>
      <c r="E33" s="16">
        <v>9946.2199999999993</v>
      </c>
      <c r="F33" s="16">
        <v>9958.61</v>
      </c>
      <c r="G33" s="16">
        <f>G31*D26</f>
        <v>8825.81</v>
      </c>
      <c r="H33" s="16">
        <f>H31*$D$26</f>
        <v>8544.3799999999992</v>
      </c>
      <c r="I33" s="16">
        <f>I31*$D$26</f>
        <v>7898.92</v>
      </c>
      <c r="J33" s="16">
        <f>J31*$D$26</f>
        <v>7616.9</v>
      </c>
      <c r="K33" s="16">
        <f>K31*$D$26</f>
        <v>8567.3900000000012</v>
      </c>
      <c r="L33" s="16">
        <f>L31*$D$26</f>
        <v>9268.31</v>
      </c>
      <c r="M33" s="5"/>
    </row>
    <row r="34" spans="1:13" x14ac:dyDescent="0.2">
      <c r="A34" s="11"/>
      <c r="B34" s="11" t="s">
        <v>39</v>
      </c>
      <c r="C34" s="11"/>
      <c r="D34" s="16">
        <v>10000</v>
      </c>
      <c r="E34" s="16">
        <v>53.78</v>
      </c>
      <c r="F34" s="16">
        <v>53.78</v>
      </c>
      <c r="G34" s="16">
        <f>F34</f>
        <v>53.78</v>
      </c>
      <c r="H34" s="16">
        <f>G34</f>
        <v>53.78</v>
      </c>
      <c r="I34" s="16">
        <f>H34</f>
        <v>53.78</v>
      </c>
      <c r="J34" s="16">
        <f>I34</f>
        <v>53.78</v>
      </c>
      <c r="K34" s="16">
        <f>J34</f>
        <v>53.78</v>
      </c>
      <c r="L34" s="16">
        <f>K34</f>
        <v>53.78</v>
      </c>
      <c r="M34" s="5"/>
    </row>
    <row r="35" spans="1:13" x14ac:dyDescent="0.2">
      <c r="A35" s="11"/>
      <c r="B35" s="11"/>
      <c r="C35" s="12"/>
      <c r="D35" s="12"/>
      <c r="E35" s="12"/>
      <c r="F35" s="12"/>
      <c r="G35" s="12"/>
      <c r="H35" s="12"/>
      <c r="I35" s="12"/>
      <c r="J35" s="12"/>
      <c r="K35" s="12"/>
      <c r="L35" s="12"/>
    </row>
    <row r="36" spans="1:13" x14ac:dyDescent="0.2">
      <c r="A36" s="11"/>
      <c r="B36" s="11"/>
      <c r="C36" s="16"/>
      <c r="D36" s="16"/>
      <c r="E36" s="16"/>
      <c r="F36" s="16"/>
      <c r="G36" s="16"/>
      <c r="H36" s="16"/>
      <c r="I36" s="16"/>
      <c r="J36" s="16"/>
      <c r="K36" s="16"/>
      <c r="L36" s="16"/>
    </row>
    <row r="37" spans="1:13" x14ac:dyDescent="0.2">
      <c r="A37" s="11"/>
      <c r="B37" s="11"/>
      <c r="C37" s="16"/>
      <c r="D37" s="16"/>
      <c r="E37" s="16"/>
      <c r="F37" s="16"/>
      <c r="G37" s="16"/>
      <c r="H37" s="16"/>
      <c r="I37" s="16"/>
      <c r="J37" s="16"/>
      <c r="K37" s="16"/>
      <c r="L37" s="16"/>
    </row>
    <row r="38" spans="1:13" x14ac:dyDescent="0.2">
      <c r="A38" s="11"/>
      <c r="B38" s="11"/>
      <c r="C38" s="11"/>
      <c r="D38" s="11"/>
      <c r="E38" s="11"/>
      <c r="F38" s="11"/>
      <c r="G38" s="11"/>
      <c r="H38" s="11"/>
      <c r="I38" s="16"/>
      <c r="J38" s="16"/>
      <c r="K38" s="16"/>
      <c r="L38" s="16"/>
    </row>
    <row r="39" spans="1:13" x14ac:dyDescent="0.2">
      <c r="A39" s="11" t="s">
        <v>22</v>
      </c>
      <c r="B39" s="11"/>
      <c r="C39" s="11"/>
      <c r="D39" s="11"/>
      <c r="E39" s="11" t="s">
        <v>94</v>
      </c>
      <c r="F39" s="11" t="s">
        <v>96</v>
      </c>
      <c r="G39" s="11" t="s">
        <v>108</v>
      </c>
      <c r="H39" s="11" t="s">
        <v>111</v>
      </c>
      <c r="I39" s="11" t="s">
        <v>112</v>
      </c>
      <c r="J39" s="11" t="s">
        <v>115</v>
      </c>
      <c r="K39" s="11" t="s">
        <v>118</v>
      </c>
      <c r="L39" s="11" t="s">
        <v>121</v>
      </c>
    </row>
    <row r="40" spans="1:13" x14ac:dyDescent="0.2">
      <c r="A40" s="11"/>
      <c r="B40" s="11"/>
      <c r="C40" s="11"/>
      <c r="D40" s="11"/>
      <c r="E40" s="11"/>
      <c r="F40" s="11"/>
      <c r="G40" s="11"/>
      <c r="H40" s="11"/>
      <c r="I40" s="11"/>
      <c r="J40" s="11"/>
      <c r="K40" s="11"/>
      <c r="L40" s="11"/>
    </row>
    <row r="41" spans="1:13" x14ac:dyDescent="0.2">
      <c r="A41" s="11" t="s">
        <v>30</v>
      </c>
      <c r="B41" s="11"/>
      <c r="C41" s="11"/>
      <c r="D41" s="11"/>
      <c r="E41" s="11"/>
      <c r="F41" s="16">
        <f>F33-E33</f>
        <v>12.390000000001237</v>
      </c>
      <c r="G41" s="16">
        <f t="shared" ref="G41:L41" si="6">G33-F33</f>
        <v>-1132.8000000000011</v>
      </c>
      <c r="H41" s="16">
        <f t="shared" si="6"/>
        <v>-281.43000000000029</v>
      </c>
      <c r="I41" s="16">
        <f t="shared" si="6"/>
        <v>-645.45999999999913</v>
      </c>
      <c r="J41" s="16">
        <f t="shared" si="6"/>
        <v>-282.02000000000044</v>
      </c>
      <c r="K41" s="16">
        <f t="shared" si="6"/>
        <v>950.4900000000016</v>
      </c>
      <c r="L41" s="16">
        <f t="shared" si="6"/>
        <v>700.91999999999825</v>
      </c>
    </row>
    <row r="42" spans="1:13" x14ac:dyDescent="0.2">
      <c r="A42" s="11" t="s">
        <v>31</v>
      </c>
      <c r="B42" s="11"/>
      <c r="C42" s="11"/>
      <c r="D42" s="11"/>
      <c r="E42" s="11"/>
      <c r="F42" s="21">
        <f>F33-$E$33</f>
        <v>12.390000000001237</v>
      </c>
      <c r="G42" s="21">
        <f t="shared" ref="G42:L42" si="7">G33-$E$33</f>
        <v>-1120.4099999999999</v>
      </c>
      <c r="H42" s="21">
        <f t="shared" si="7"/>
        <v>-1401.8400000000001</v>
      </c>
      <c r="I42" s="21">
        <f t="shared" si="7"/>
        <v>-2047.2999999999993</v>
      </c>
      <c r="J42" s="21">
        <f t="shared" si="7"/>
        <v>-2329.3199999999997</v>
      </c>
      <c r="K42" s="21">
        <f t="shared" si="7"/>
        <v>-1378.8299999999981</v>
      </c>
      <c r="L42" s="21">
        <f t="shared" si="7"/>
        <v>-677.90999999999985</v>
      </c>
    </row>
    <row r="43" spans="1:13" x14ac:dyDescent="0.2">
      <c r="G43" s="5"/>
    </row>
  </sheetData>
  <conditionalFormatting sqref="E18:M19">
    <cfRule type="cellIs" dxfId="77" priority="9" operator="lessThan">
      <formula>0</formula>
    </cfRule>
    <cfRule type="cellIs" dxfId="76" priority="10" operator="greaterThan">
      <formula>0</formula>
    </cfRule>
  </conditionalFormatting>
  <conditionalFormatting sqref="I38:L38">
    <cfRule type="cellIs" dxfId="75" priority="1" operator="lessThan">
      <formula>0</formula>
    </cfRule>
    <cfRule type="cellIs" dxfId="74"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4020-D417-4113-9970-3DE58DC890AB}">
  <dimension ref="A1:P52"/>
  <sheetViews>
    <sheetView topLeftCell="A16" zoomScale="140" workbookViewId="0">
      <selection activeCell="F41" sqref="F41"/>
    </sheetView>
  </sheetViews>
  <sheetFormatPr baseColWidth="10" defaultColWidth="8.83203125" defaultRowHeight="15" x14ac:dyDescent="0.2"/>
  <cols>
    <col min="4" max="4" width="10.83203125" bestFit="1" customWidth="1"/>
    <col min="5" max="5" width="11" customWidth="1"/>
    <col min="6" max="6" width="10.33203125" customWidth="1"/>
    <col min="7" max="7" width="10.83203125" customWidth="1"/>
    <col min="8" max="8" width="10.5" customWidth="1"/>
    <col min="9" max="9" width="9.5" bestFit="1" customWidth="1"/>
    <col min="10" max="10" width="9.83203125" bestFit="1" customWidth="1"/>
    <col min="11" max="11" width="10.1640625" customWidth="1"/>
    <col min="12" max="12" width="11.33203125" customWidth="1"/>
    <col min="13" max="13" width="11.5" customWidth="1"/>
  </cols>
  <sheetData>
    <row r="1" spans="1:16" x14ac:dyDescent="0.2">
      <c r="A1" t="s">
        <v>40</v>
      </c>
      <c r="B1" t="s">
        <v>41</v>
      </c>
      <c r="E1" t="s">
        <v>38</v>
      </c>
      <c r="F1">
        <v>150</v>
      </c>
    </row>
    <row r="2" spans="1:16" x14ac:dyDescent="0.2">
      <c r="A2" t="s">
        <v>42</v>
      </c>
      <c r="B2" t="s">
        <v>43</v>
      </c>
      <c r="E2" t="s">
        <v>38</v>
      </c>
      <c r="F2">
        <v>180</v>
      </c>
    </row>
    <row r="3" spans="1:16" x14ac:dyDescent="0.2">
      <c r="A3" t="s">
        <v>44</v>
      </c>
    </row>
    <row r="4" spans="1:16" x14ac:dyDescent="0.2">
      <c r="A4" t="s">
        <v>45</v>
      </c>
      <c r="P4" s="8"/>
    </row>
    <row r="5" spans="1:16" x14ac:dyDescent="0.2">
      <c r="A5" t="s">
        <v>46</v>
      </c>
      <c r="P5" s="8"/>
    </row>
    <row r="6" spans="1:16" x14ac:dyDescent="0.2">
      <c r="P6" s="8"/>
    </row>
    <row r="7" spans="1:16" x14ac:dyDescent="0.2">
      <c r="A7" t="s">
        <v>5</v>
      </c>
      <c r="C7" s="4"/>
      <c r="P7" s="8"/>
    </row>
    <row r="8" spans="1:16" x14ac:dyDescent="0.2">
      <c r="D8" t="s">
        <v>7</v>
      </c>
      <c r="E8" t="s">
        <v>8</v>
      </c>
      <c r="F8" t="s">
        <v>9</v>
      </c>
      <c r="G8" t="s">
        <v>10</v>
      </c>
      <c r="H8" t="s">
        <v>11</v>
      </c>
      <c r="I8" t="s">
        <v>12</v>
      </c>
      <c r="J8" t="s">
        <v>13</v>
      </c>
      <c r="K8" t="s">
        <v>14</v>
      </c>
      <c r="L8" t="s">
        <v>15</v>
      </c>
      <c r="P8" s="8"/>
    </row>
    <row r="9" spans="1:16" x14ac:dyDescent="0.2">
      <c r="A9" t="s">
        <v>40</v>
      </c>
      <c r="B9" t="s">
        <v>17</v>
      </c>
      <c r="D9" s="5"/>
      <c r="E9" s="5"/>
      <c r="F9" s="5">
        <f>34.25</f>
        <v>34.25</v>
      </c>
      <c r="G9" s="5">
        <f>35.3</f>
        <v>35.299999999999997</v>
      </c>
      <c r="H9" s="5">
        <f>36.04</f>
        <v>36.04</v>
      </c>
      <c r="I9" s="5">
        <f>35.61</f>
        <v>35.61</v>
      </c>
      <c r="J9" s="5">
        <f>35.12</f>
        <v>35.119999999999997</v>
      </c>
      <c r="K9" s="5">
        <f>34.2</f>
        <v>34.200000000000003</v>
      </c>
      <c r="L9" s="5">
        <f>33.43</f>
        <v>33.43</v>
      </c>
      <c r="M9" s="5"/>
      <c r="P9" s="8"/>
    </row>
    <row r="10" spans="1:16" x14ac:dyDescent="0.2">
      <c r="A10" t="s">
        <v>42</v>
      </c>
      <c r="B10" t="s">
        <v>17</v>
      </c>
      <c r="E10" s="5"/>
      <c r="F10" s="5">
        <v>24.1</v>
      </c>
      <c r="G10" s="5">
        <v>24.27</v>
      </c>
      <c r="H10" s="5">
        <v>25.31</v>
      </c>
      <c r="I10" s="5">
        <v>24.4</v>
      </c>
      <c r="J10" s="5">
        <v>25.51</v>
      </c>
      <c r="K10" s="5">
        <v>25.89</v>
      </c>
      <c r="L10" s="5">
        <v>26.09</v>
      </c>
      <c r="M10" s="5"/>
      <c r="P10" s="8"/>
    </row>
    <row r="11" spans="1:16" x14ac:dyDescent="0.2">
      <c r="P11" s="8"/>
    </row>
    <row r="12" spans="1:16" x14ac:dyDescent="0.2">
      <c r="B12" t="s">
        <v>20</v>
      </c>
      <c r="D12" s="5"/>
      <c r="E12" s="5"/>
      <c r="F12" s="5">
        <f t="shared" ref="F12:L12" si="0">F9*$F1+F10*$F2</f>
        <v>9475.5</v>
      </c>
      <c r="G12" s="5">
        <f t="shared" si="0"/>
        <v>9663.6</v>
      </c>
      <c r="H12" s="5">
        <f t="shared" si="0"/>
        <v>9961.7999999999993</v>
      </c>
      <c r="I12" s="5">
        <f t="shared" si="0"/>
        <v>9733.5</v>
      </c>
      <c r="J12" s="5">
        <f t="shared" si="0"/>
        <v>9859.7999999999993</v>
      </c>
      <c r="K12" s="5">
        <f t="shared" si="0"/>
        <v>9790.2000000000007</v>
      </c>
      <c r="L12" s="5">
        <f t="shared" si="0"/>
        <v>9710.7000000000007</v>
      </c>
      <c r="M12" s="5"/>
      <c r="P12" s="8"/>
    </row>
    <row r="13" spans="1:16" x14ac:dyDescent="0.2">
      <c r="B13" t="s">
        <v>39</v>
      </c>
      <c r="D13" s="5">
        <v>10000</v>
      </c>
      <c r="E13" s="5">
        <f>D13-E12</f>
        <v>10000</v>
      </c>
      <c r="F13" s="5">
        <f>E13-F12</f>
        <v>524.5</v>
      </c>
      <c r="G13" s="5">
        <f t="shared" ref="G13:L13" si="1">F13</f>
        <v>524.5</v>
      </c>
      <c r="H13" s="5">
        <f t="shared" si="1"/>
        <v>524.5</v>
      </c>
      <c r="I13" s="5">
        <f t="shared" si="1"/>
        <v>524.5</v>
      </c>
      <c r="J13" s="5">
        <f t="shared" si="1"/>
        <v>524.5</v>
      </c>
      <c r="K13" s="5">
        <f t="shared" si="1"/>
        <v>524.5</v>
      </c>
      <c r="L13" s="5">
        <f t="shared" si="1"/>
        <v>524.5</v>
      </c>
      <c r="M13" s="5"/>
      <c r="P13" s="8"/>
    </row>
    <row r="14" spans="1:16" x14ac:dyDescent="0.2">
      <c r="P14" s="8"/>
    </row>
    <row r="15" spans="1:16" x14ac:dyDescent="0.2">
      <c r="P15" s="8"/>
    </row>
    <row r="16" spans="1:16" x14ac:dyDescent="0.2">
      <c r="P16" s="8"/>
    </row>
    <row r="17" spans="1:16" x14ac:dyDescent="0.2">
      <c r="P17" s="8"/>
    </row>
    <row r="18" spans="1:16" x14ac:dyDescent="0.2">
      <c r="P18" s="8"/>
    </row>
    <row r="19" spans="1:16" x14ac:dyDescent="0.2">
      <c r="P19" s="8"/>
    </row>
    <row r="20" spans="1:16" x14ac:dyDescent="0.2">
      <c r="A20" t="s">
        <v>30</v>
      </c>
      <c r="E20" s="5"/>
      <c r="F20" s="5"/>
      <c r="G20" s="5">
        <f t="shared" ref="G20:L20" si="2">G12-F12</f>
        <v>188.10000000000036</v>
      </c>
      <c r="H20" s="5">
        <f t="shared" si="2"/>
        <v>298.19999999999891</v>
      </c>
      <c r="I20" s="5">
        <f t="shared" si="2"/>
        <v>-228.29999999999927</v>
      </c>
      <c r="J20" s="5">
        <f t="shared" si="2"/>
        <v>126.29999999999927</v>
      </c>
      <c r="K20" s="5">
        <f t="shared" si="2"/>
        <v>-69.599999999998545</v>
      </c>
      <c r="L20" s="5">
        <f t="shared" si="2"/>
        <v>-79.5</v>
      </c>
      <c r="M20" s="5"/>
      <c r="P20" s="8"/>
    </row>
    <row r="21" spans="1:16" x14ac:dyDescent="0.2">
      <c r="A21" t="s">
        <v>31</v>
      </c>
      <c r="E21" s="5"/>
      <c r="F21" s="5"/>
      <c r="G21" s="5">
        <f>G12-$F12</f>
        <v>188.10000000000036</v>
      </c>
      <c r="H21" s="5">
        <f t="shared" ref="H21:L21" si="3">H12-$F12</f>
        <v>486.29999999999927</v>
      </c>
      <c r="I21" s="5">
        <f t="shared" si="3"/>
        <v>258</v>
      </c>
      <c r="J21" s="5">
        <f t="shared" si="3"/>
        <v>384.29999999999927</v>
      </c>
      <c r="K21" s="5">
        <f t="shared" si="3"/>
        <v>314.70000000000073</v>
      </c>
      <c r="L21" s="5">
        <f t="shared" si="3"/>
        <v>235.20000000000073</v>
      </c>
      <c r="M21" s="5"/>
      <c r="P21" s="8"/>
    </row>
    <row r="22" spans="1:16" x14ac:dyDescent="0.2">
      <c r="P22" s="8"/>
    </row>
    <row r="23" spans="1:16" x14ac:dyDescent="0.2">
      <c r="A23" s="8"/>
      <c r="B23" s="8"/>
      <c r="C23" s="8"/>
      <c r="D23" s="8"/>
      <c r="E23" s="8"/>
      <c r="F23" s="8"/>
      <c r="G23" s="8"/>
      <c r="H23" s="8"/>
      <c r="I23" s="8"/>
      <c r="J23" s="8"/>
      <c r="K23" s="8"/>
      <c r="L23" s="8"/>
      <c r="M23" s="8"/>
      <c r="N23" s="8"/>
      <c r="O23" s="8"/>
      <c r="P23" s="8"/>
    </row>
    <row r="25" spans="1:16" x14ac:dyDescent="0.2">
      <c r="A25" s="11" t="s">
        <v>47</v>
      </c>
      <c r="B25" s="11"/>
      <c r="C25" s="11"/>
      <c r="D25" s="11"/>
      <c r="E25" s="11"/>
      <c r="F25" s="11"/>
      <c r="G25" s="11"/>
      <c r="H25" s="11"/>
      <c r="I25" s="11"/>
      <c r="J25" s="11"/>
      <c r="K25" s="11"/>
      <c r="L25" s="11"/>
      <c r="M25" s="11"/>
    </row>
    <row r="26" spans="1:16" x14ac:dyDescent="0.2">
      <c r="A26" s="11"/>
      <c r="B26" s="11"/>
      <c r="C26" s="11"/>
      <c r="D26" s="11"/>
      <c r="E26" s="11"/>
      <c r="F26" s="11"/>
      <c r="G26" s="11"/>
      <c r="H26" s="11"/>
      <c r="I26" s="11"/>
      <c r="J26" s="11"/>
      <c r="K26" s="11"/>
      <c r="L26" s="11"/>
      <c r="M26" s="11"/>
    </row>
    <row r="27" spans="1:16" x14ac:dyDescent="0.2">
      <c r="A27" s="11" t="s">
        <v>40</v>
      </c>
      <c r="B27" s="11" t="e" vm="2">
        <v>#VALUE!</v>
      </c>
      <c r="C27" s="11"/>
      <c r="D27" s="11"/>
      <c r="E27" s="11"/>
      <c r="F27" s="11" t="s">
        <v>101</v>
      </c>
      <c r="G27" s="25">
        <v>0.25</v>
      </c>
      <c r="H27" s="25"/>
      <c r="I27" s="11" t="s">
        <v>102</v>
      </c>
      <c r="J27" s="22">
        <v>14</v>
      </c>
      <c r="K27" s="22"/>
      <c r="L27" s="22" t="s">
        <v>103</v>
      </c>
      <c r="M27" s="26">
        <f>J27*F35</f>
        <v>2618.2800000000002</v>
      </c>
      <c r="N27" s="24"/>
      <c r="O27" s="24"/>
    </row>
    <row r="28" spans="1:16" x14ac:dyDescent="0.2">
      <c r="A28" s="11" t="s">
        <v>42</v>
      </c>
      <c r="B28" s="11" t="e" vm="3">
        <v>#VALUE!</v>
      </c>
      <c r="C28" s="12"/>
      <c r="D28" s="11"/>
      <c r="E28" s="11"/>
      <c r="F28" s="11" t="s">
        <v>101</v>
      </c>
      <c r="G28" s="25">
        <v>0.2</v>
      </c>
      <c r="H28" s="25"/>
      <c r="I28" s="11" t="s">
        <v>102</v>
      </c>
      <c r="J28" s="22">
        <v>17</v>
      </c>
      <c r="K28" s="22"/>
      <c r="L28" s="22" t="s">
        <v>103</v>
      </c>
      <c r="M28" s="26">
        <f t="shared" ref="M28:M31" si="4">J28*F36</f>
        <v>2220.8799999999997</v>
      </c>
      <c r="N28" s="24"/>
      <c r="O28" s="24"/>
    </row>
    <row r="29" spans="1:16" x14ac:dyDescent="0.2">
      <c r="A29" s="11" t="s">
        <v>44</v>
      </c>
      <c r="B29" s="11" t="e" vm="4">
        <v>#VALUE!</v>
      </c>
      <c r="C29" s="13"/>
      <c r="D29" s="11"/>
      <c r="E29" s="11"/>
      <c r="F29" s="11" t="s">
        <v>101</v>
      </c>
      <c r="G29" s="25">
        <v>0.2</v>
      </c>
      <c r="H29" s="25"/>
      <c r="I29" s="11" t="s">
        <v>102</v>
      </c>
      <c r="J29" s="11">
        <v>8</v>
      </c>
      <c r="K29" s="11"/>
      <c r="L29" s="22" t="s">
        <v>103</v>
      </c>
      <c r="M29" s="26">
        <f t="shared" si="4"/>
        <v>2019.92</v>
      </c>
    </row>
    <row r="30" spans="1:16" x14ac:dyDescent="0.2">
      <c r="A30" s="22" t="s">
        <v>45</v>
      </c>
      <c r="B30" s="22" t="e" vm="5">
        <v>#VALUE!</v>
      </c>
      <c r="C30" s="14"/>
      <c r="D30" s="11"/>
      <c r="E30" s="11"/>
      <c r="F30" s="11" t="s">
        <v>101</v>
      </c>
      <c r="G30" s="13">
        <v>0.17499999999999999</v>
      </c>
      <c r="H30" s="13"/>
      <c r="I30" s="11" t="s">
        <v>102</v>
      </c>
      <c r="J30" s="11">
        <v>24</v>
      </c>
      <c r="K30" s="11"/>
      <c r="L30" s="22" t="s">
        <v>103</v>
      </c>
      <c r="M30" s="26">
        <f t="shared" si="4"/>
        <v>1815.6000000000001</v>
      </c>
    </row>
    <row r="31" spans="1:16" x14ac:dyDescent="0.2">
      <c r="A31" s="22" t="s">
        <v>46</v>
      </c>
      <c r="B31" s="22" t="e" vm="6">
        <v>#VALUE!</v>
      </c>
      <c r="C31" s="15"/>
      <c r="D31" s="11"/>
      <c r="E31" s="11"/>
      <c r="F31" s="11" t="s">
        <v>101</v>
      </c>
      <c r="G31" s="13">
        <v>0.17499999999999999</v>
      </c>
      <c r="H31" s="13"/>
      <c r="I31" s="11" t="s">
        <v>102</v>
      </c>
      <c r="J31" s="11">
        <v>3</v>
      </c>
      <c r="K31" s="11"/>
      <c r="L31" s="22" t="s">
        <v>103</v>
      </c>
      <c r="M31" s="26">
        <f t="shared" si="4"/>
        <v>1315.71</v>
      </c>
    </row>
    <row r="32" spans="1:16" x14ac:dyDescent="0.2">
      <c r="A32" s="11"/>
      <c r="B32" s="11"/>
      <c r="C32" s="11"/>
      <c r="D32" s="11"/>
      <c r="E32" s="11"/>
      <c r="F32" s="11"/>
      <c r="G32" s="11"/>
      <c r="H32" s="11"/>
      <c r="I32" s="11"/>
      <c r="J32" s="11"/>
      <c r="K32" s="11"/>
      <c r="L32" s="11"/>
      <c r="M32" s="11"/>
    </row>
    <row r="33" spans="1:13" x14ac:dyDescent="0.2">
      <c r="A33" s="11"/>
      <c r="B33" s="11"/>
      <c r="C33" s="15"/>
      <c r="D33" s="11"/>
      <c r="E33" s="11"/>
      <c r="F33" s="11"/>
      <c r="G33" s="11"/>
      <c r="H33" s="11"/>
      <c r="I33" s="11"/>
      <c r="J33" s="11"/>
      <c r="K33" s="11"/>
      <c r="L33" s="11"/>
      <c r="M33" s="11"/>
    </row>
    <row r="34" spans="1:13" x14ac:dyDescent="0.2">
      <c r="A34" s="11"/>
      <c r="B34" s="11"/>
      <c r="C34" s="11" t="s">
        <v>100</v>
      </c>
      <c r="D34" s="11"/>
      <c r="E34" s="11" t="s">
        <v>8</v>
      </c>
      <c r="F34" s="11" t="s">
        <v>9</v>
      </c>
      <c r="G34" s="11" t="s">
        <v>10</v>
      </c>
      <c r="H34" s="11" t="s">
        <v>11</v>
      </c>
      <c r="I34" s="11" t="s">
        <v>12</v>
      </c>
      <c r="J34" s="11" t="s">
        <v>13</v>
      </c>
      <c r="K34" s="11" t="s">
        <v>14</v>
      </c>
      <c r="L34" s="11" t="s">
        <v>15</v>
      </c>
      <c r="M34" s="11"/>
    </row>
    <row r="35" spans="1:13" x14ac:dyDescent="0.2">
      <c r="A35" s="11" t="s">
        <v>40</v>
      </c>
      <c r="B35" s="11" t="s">
        <v>17</v>
      </c>
      <c r="C35" s="23" cm="1">
        <f t="array" aca="1" ref="C35" ca="1">_FV(B27,"Price")</f>
        <v>184.77</v>
      </c>
      <c r="D35" s="16"/>
      <c r="E35" s="16"/>
      <c r="F35" s="16">
        <v>187.02</v>
      </c>
      <c r="G35" s="16" cm="1" vm="7">
        <f t="array" aca="1" ref="G35" ca="1">_xlfn.STOCKHISTORY(B27, "2026-01-30", "2026-01-30", 0, 0, 1)</f>
        <v>191.13</v>
      </c>
      <c r="H35" s="16" cm="1" vm="8">
        <f t="array" aca="1" ref="H35" ca="1">_xlfn.STOCKHISTORY(B27, "2026-02-06", "2026-02-06", 0, 0, 1)</f>
        <v>185.41</v>
      </c>
      <c r="I35" s="16" cm="1" vm="9">
        <f t="array" aca="1" ref="I35" ca="1">_xlfn.STOCKHISTORY(B27, "2026-02-13", "2026-02-13", 0, 0, 1)</f>
        <v>182.81</v>
      </c>
      <c r="J35" s="16" cm="1" vm="10">
        <f t="array" aca="1" ref="J35" ca="1">_xlfn.STOCKHISTORY(B27, "2026-02-23", "2026-02-23", 0, 0, 1)</f>
        <v>191.55</v>
      </c>
      <c r="K35" s="16">
        <v>182.18</v>
      </c>
      <c r="L35" s="16" cm="1" vm="11">
        <f t="array" aca="1" ref="L35" ca="1">_xlfn.STOCKHISTORY(B27, "2026-03-09", "2026-03-09", 0, 0, 1)</f>
        <v>182.65</v>
      </c>
      <c r="M35" s="16"/>
    </row>
    <row r="36" spans="1:13" x14ac:dyDescent="0.2">
      <c r="A36" s="11" t="s">
        <v>42</v>
      </c>
      <c r="B36" s="11" t="s">
        <v>17</v>
      </c>
      <c r="C36" s="23" cm="1">
        <f t="array" aca="1" ref="C36" ca="1">_FV(B28,"Price")</f>
        <v>112.33</v>
      </c>
      <c r="D36" s="11"/>
      <c r="E36" s="11"/>
      <c r="F36" s="16">
        <v>130.63999999999999</v>
      </c>
      <c r="G36" s="16" cm="1" vm="12">
        <f t="array" aca="1" ref="G36" ca="1">_xlfn.STOCKHISTORY(B28, "2026-01-30", "2026-01-30", 0, 0, 1)</f>
        <v>125.28</v>
      </c>
      <c r="H36" s="16" cm="1" vm="13">
        <f t="array" aca="1" ref="H36" ca="1">_xlfn.STOCKHISTORY(B28, "2026-02-06", "2026-02-06", 0, 0, 1)</f>
        <v>111.4</v>
      </c>
      <c r="I36" s="16" cm="1" vm="14">
        <f t="array" aca="1" ref="I36" ca="1">_xlfn.STOCKHISTORY(B28, "2026-02-13", "2026-02-13", 0, 0, 1)</f>
        <v>121.44</v>
      </c>
      <c r="J36" s="16" cm="1" vm="15">
        <f t="array" aca="1" ref="J36" ca="1">_xlfn.STOCKHISTORY(B28, "2026-02-23", "2026-02-23", 0, 0, 1)</f>
        <v>124.05</v>
      </c>
      <c r="K36" s="16">
        <v>113.31</v>
      </c>
      <c r="L36" s="16" cm="1" vm="16">
        <f t="array" aca="1" ref="L36" ca="1">_xlfn.STOCKHISTORY(B28, "2026-03-09", "2026-03-09", 0, 0, 1)</f>
        <v>115.98</v>
      </c>
      <c r="M36" s="11"/>
    </row>
    <row r="37" spans="1:13" x14ac:dyDescent="0.2">
      <c r="A37" s="11" t="s">
        <v>44</v>
      </c>
      <c r="B37" s="11" t="s">
        <v>17</v>
      </c>
      <c r="C37" s="23" cm="1">
        <f t="array" aca="1" ref="C37" ca="1">_FV(B29,"Price")</f>
        <v>203.23</v>
      </c>
      <c r="D37" s="11"/>
      <c r="E37" s="11"/>
      <c r="F37" s="16">
        <v>252.49</v>
      </c>
      <c r="G37" s="16" cm="1" vm="17">
        <f t="array" aca="1" ref="G37" ca="1">_xlfn.STOCKHISTORY(B29, "2026-01-30", "2026-01-30", 0, 0, 1)</f>
        <v>236.73</v>
      </c>
      <c r="H37" s="16" cm="1" vm="18">
        <f t="array" aca="1" ref="H37" ca="1">_xlfn.STOCKHISTORY(B29, "2026-02-06", "2026-02-06", 0, 0, 1)</f>
        <v>208.44</v>
      </c>
      <c r="I37" s="16" cm="1" vm="19">
        <f t="array" aca="1" ref="I37" ca="1">_xlfn.STOCKHISTORY(B29, "2026-02-13", "2026-02-13", 0, 0, 1)</f>
        <v>207.32</v>
      </c>
      <c r="J37" s="16" cm="1" vm="20">
        <f t="array" aca="1" ref="J37" ca="1">_xlfn.STOCKHISTORY(B29, "2026-02-23", "2026-02-23", 0, 0, 1)</f>
        <v>196.6</v>
      </c>
      <c r="K37" s="16">
        <v>196.62</v>
      </c>
      <c r="L37" s="16" cm="1" vm="21">
        <f t="array" aca="1" ref="L37" ca="1">_xlfn.STOCKHISTORY(B29, "2026-03-09", "2026-03-09", 0, 0, 1)</f>
        <v>202.68</v>
      </c>
      <c r="M37" s="11"/>
    </row>
    <row r="38" spans="1:13" x14ac:dyDescent="0.2">
      <c r="A38" s="11" t="s">
        <v>45</v>
      </c>
      <c r="B38" s="11" t="s">
        <v>17</v>
      </c>
      <c r="C38" s="23" cm="1">
        <f t="array" aca="1" ref="C38" ca="1">_FV(B30,"Price")</f>
        <v>68.5</v>
      </c>
      <c r="D38" s="11"/>
      <c r="E38" s="16"/>
      <c r="F38" s="16">
        <v>75.650000000000006</v>
      </c>
      <c r="G38" s="16" cm="1" vm="22">
        <f t="array" aca="1" ref="G38" ca="1">_xlfn.STOCKHISTORY(B30, "2026-01-30", "2026-01-30", 0, 0, 1)</f>
        <v>74.88</v>
      </c>
      <c r="H38" s="16" cm="1" vm="23">
        <f t="array" aca="1" ref="H38" ca="1">_xlfn.STOCKHISTORY(B30, "2026-02-06", "2026-02-06", 0, 0, 1)</f>
        <v>74.59</v>
      </c>
      <c r="I38" s="16" cm="1" vm="24">
        <f t="array" aca="1" ref="I38" ca="1">_xlfn.STOCKHISTORY(B30, "2026-02-13", "2026-02-13", 0, 0, 1)</f>
        <v>74.75</v>
      </c>
      <c r="J38" s="16" cm="1" vm="25">
        <f t="array" aca="1" ref="J38" ca="1">_xlfn.STOCKHISTORY(B30, "2026-02-23", "2026-02-23", 0, 0, 1)</f>
        <v>71.540000000000006</v>
      </c>
      <c r="K38" s="16">
        <v>72.64</v>
      </c>
      <c r="L38" s="16" cm="1" vm="26">
        <f t="array" aca="1" ref="L38" ca="1">_xlfn.STOCKHISTORY(B30, "2026-03-09", "2026-03-09", 0, 0, 1)</f>
        <v>67.489999999999995</v>
      </c>
      <c r="M38" s="16"/>
    </row>
    <row r="39" spans="1:13" x14ac:dyDescent="0.2">
      <c r="A39" s="11" t="s">
        <v>46</v>
      </c>
      <c r="B39" s="11" t="s">
        <v>17</v>
      </c>
      <c r="C39" s="23" cm="1">
        <f t="array" aca="1" ref="C39" ca="1">_FV(B31,"Price")</f>
        <v>399.23500000000001</v>
      </c>
      <c r="D39" s="11"/>
      <c r="E39" s="11"/>
      <c r="F39" s="16">
        <v>438.57</v>
      </c>
      <c r="G39" s="16" cm="1" vm="27">
        <f t="array" aca="1" ref="G39" ca="1">_xlfn.STOCKHISTORY(B31, "2026-01-30", "2026-01-30", 0, 0, 1)</f>
        <v>430.41</v>
      </c>
      <c r="H39" s="16" cm="1" vm="28">
        <f t="array" aca="1" ref="H39" ca="1">_xlfn.STOCKHISTORY(B31, "2026-02-06", "2026-02-06", 0, 0, 1)</f>
        <v>411.11</v>
      </c>
      <c r="I39" s="16" cm="1" vm="29">
        <f t="array" aca="1" ref="I39" ca="1">_xlfn.STOCKHISTORY(B31, "2026-02-13", "2026-02-13", 0, 0, 1)</f>
        <v>417.44</v>
      </c>
      <c r="J39" s="16" cm="1" vm="30">
        <f t="array" aca="1" ref="J39" ca="1">_xlfn.STOCKHISTORY(B31, "2026-02-23", "2026-02-23", 0, 0, 1)</f>
        <v>399.83</v>
      </c>
      <c r="K39" s="16">
        <v>400.94</v>
      </c>
      <c r="L39" s="16" cm="1" vm="31">
        <f t="array" aca="1" ref="L39" ca="1">_xlfn.STOCKHISTORY(B31, "2026-03-09", "2026-03-09", 0, 0, 1)</f>
        <v>398.68</v>
      </c>
      <c r="M39" s="11"/>
    </row>
    <row r="40" spans="1:13" x14ac:dyDescent="0.2">
      <c r="A40" s="11"/>
      <c r="B40" s="11"/>
      <c r="C40" s="11"/>
      <c r="D40" s="16"/>
      <c r="E40" s="16"/>
      <c r="F40" s="16"/>
      <c r="G40" s="16"/>
      <c r="H40" s="16"/>
      <c r="I40" s="16"/>
      <c r="J40" s="16"/>
      <c r="K40" s="16"/>
      <c r="L40" s="16"/>
      <c r="M40" s="16"/>
    </row>
    <row r="41" spans="1:13" x14ac:dyDescent="0.2">
      <c r="A41" s="11"/>
      <c r="B41" s="11" t="s">
        <v>20</v>
      </c>
      <c r="C41" s="11"/>
      <c r="D41" s="16"/>
      <c r="E41" s="16"/>
      <c r="F41" s="16">
        <f>$J$27*F35+$J$28*F36+$J$29*F37+$J$30*F38+$J$31*F39</f>
        <v>9990.39</v>
      </c>
      <c r="G41" s="16">
        <f t="shared" ref="G41:L41" ca="1" si="5">$J$27*G35+$J$28*G36+$J$29*G37+$J$30*G38+$J$31*G39</f>
        <v>9787.77</v>
      </c>
      <c r="H41" s="16">
        <f t="shared" ca="1" si="5"/>
        <v>9180.5499999999993</v>
      </c>
      <c r="I41" s="16">
        <f t="shared" ca="1" si="5"/>
        <v>9328.6999999999989</v>
      </c>
      <c r="J41" s="16">
        <f t="shared" ca="1" si="5"/>
        <v>9279.8000000000011</v>
      </c>
      <c r="K41" s="16">
        <f t="shared" si="5"/>
        <v>8995.93</v>
      </c>
      <c r="L41" s="16">
        <f t="shared" ca="1" si="5"/>
        <v>8966</v>
      </c>
      <c r="M41" s="16"/>
    </row>
    <row r="42" spans="1:13" x14ac:dyDescent="0.2">
      <c r="A42" s="11"/>
      <c r="B42" s="11" t="s">
        <v>39</v>
      </c>
      <c r="C42" s="11"/>
      <c r="D42" s="11"/>
      <c r="E42" s="11"/>
      <c r="F42" s="16">
        <f>10000-F41</f>
        <v>9.6100000000005821</v>
      </c>
      <c r="G42" s="16">
        <f>F42</f>
        <v>9.6100000000005821</v>
      </c>
      <c r="H42" s="16">
        <f>G42</f>
        <v>9.6100000000005821</v>
      </c>
      <c r="I42" s="16">
        <f>H42</f>
        <v>9.6100000000005821</v>
      </c>
      <c r="J42" s="16">
        <f t="shared" ref="J42:L42" si="6">I42</f>
        <v>9.6100000000005821</v>
      </c>
      <c r="K42" s="16">
        <f t="shared" si="6"/>
        <v>9.6100000000005821</v>
      </c>
      <c r="L42" s="16">
        <f t="shared" si="6"/>
        <v>9.6100000000005821</v>
      </c>
      <c r="M42" s="11"/>
    </row>
    <row r="43" spans="1:13" x14ac:dyDescent="0.2">
      <c r="A43" s="11"/>
      <c r="B43" s="11"/>
      <c r="C43" s="11"/>
      <c r="D43" s="11"/>
      <c r="E43" s="11"/>
      <c r="F43" s="11"/>
      <c r="G43" s="11"/>
      <c r="H43" s="11"/>
      <c r="I43" s="11"/>
      <c r="J43" s="11"/>
      <c r="K43" s="11"/>
      <c r="L43" s="11"/>
      <c r="M43" s="11"/>
    </row>
    <row r="44" spans="1:13" x14ac:dyDescent="0.2">
      <c r="A44" s="11"/>
      <c r="B44" s="11"/>
      <c r="C44" s="11"/>
      <c r="D44" s="11"/>
      <c r="E44" s="11"/>
      <c r="F44" s="11"/>
      <c r="G44" s="11"/>
      <c r="H44" s="11"/>
      <c r="I44" s="11"/>
      <c r="J44" s="11"/>
      <c r="K44" s="11"/>
      <c r="L44" s="11"/>
      <c r="M44" s="11"/>
    </row>
    <row r="45" spans="1:13" x14ac:dyDescent="0.2">
      <c r="A45" s="11"/>
      <c r="B45" s="11"/>
      <c r="C45" s="11"/>
      <c r="D45" s="11"/>
      <c r="E45" s="11"/>
      <c r="F45" s="11"/>
      <c r="G45" s="11"/>
      <c r="H45" s="11"/>
      <c r="I45" s="11"/>
      <c r="J45" s="11"/>
      <c r="K45" s="11"/>
      <c r="L45" s="11"/>
      <c r="M45" s="11"/>
    </row>
    <row r="46" spans="1:13" x14ac:dyDescent="0.2">
      <c r="A46" s="11" t="s">
        <v>30</v>
      </c>
      <c r="B46" s="11"/>
      <c r="C46" s="11"/>
      <c r="D46" s="11"/>
      <c r="E46" s="11"/>
      <c r="F46" s="11"/>
      <c r="G46" s="16">
        <f ca="1">G41-F41</f>
        <v>-202.61999999999898</v>
      </c>
      <c r="H46" s="16">
        <f ca="1">H41-G41</f>
        <v>-607.22000000000116</v>
      </c>
      <c r="I46" s="16">
        <f ca="1">I41-H41</f>
        <v>148.14999999999964</v>
      </c>
      <c r="J46" s="16">
        <f ca="1">J41-I41</f>
        <v>-48.899999999997817</v>
      </c>
      <c r="K46" s="16">
        <f ca="1">K41-J41</f>
        <v>-283.8700000000008</v>
      </c>
      <c r="L46" s="16">
        <f ca="1">L41-K41</f>
        <v>-29.930000000000291</v>
      </c>
      <c r="M46" s="11"/>
    </row>
    <row r="47" spans="1:13" x14ac:dyDescent="0.2">
      <c r="A47" s="11" t="s">
        <v>31</v>
      </c>
      <c r="B47" s="11"/>
      <c r="C47" s="11"/>
      <c r="D47" s="11"/>
      <c r="E47" s="11"/>
      <c r="F47" s="11"/>
      <c r="G47" s="16">
        <f ca="1">G41-$F$41</f>
        <v>-202.61999999999898</v>
      </c>
      <c r="H47" s="16">
        <f ca="1">H41-$F$41</f>
        <v>-809.84000000000015</v>
      </c>
      <c r="I47" s="16">
        <f ca="1">I41-$F$41</f>
        <v>-661.69000000000051</v>
      </c>
      <c r="J47" s="16">
        <f ca="1">J41-$F$41</f>
        <v>-710.58999999999833</v>
      </c>
      <c r="K47" s="16">
        <f>K41-$F$41</f>
        <v>-994.45999999999913</v>
      </c>
      <c r="L47" s="16">
        <f ca="1">L41-$F$41</f>
        <v>-1024.3899999999994</v>
      </c>
      <c r="M47" s="11"/>
    </row>
    <row r="48" spans="1:13" x14ac:dyDescent="0.2">
      <c r="A48" s="11"/>
      <c r="B48" s="11"/>
      <c r="C48" s="11"/>
      <c r="D48" s="11"/>
      <c r="E48" s="11"/>
      <c r="F48" s="11"/>
      <c r="G48" s="11"/>
      <c r="H48" s="11"/>
      <c r="I48" s="11"/>
      <c r="J48" s="11"/>
      <c r="K48" s="11"/>
      <c r="L48" s="11"/>
      <c r="M48" s="11"/>
    </row>
    <row r="49" spans="1:13" x14ac:dyDescent="0.2">
      <c r="A49" s="11"/>
      <c r="B49" s="11"/>
      <c r="C49" s="11"/>
      <c r="D49" s="11"/>
      <c r="E49" s="11"/>
      <c r="F49" s="11"/>
      <c r="G49" s="11"/>
      <c r="H49" s="11"/>
      <c r="I49" s="11"/>
      <c r="J49" s="11"/>
      <c r="K49" s="11"/>
      <c r="L49" s="11"/>
      <c r="M49" s="11"/>
    </row>
    <row r="50" spans="1:13" x14ac:dyDescent="0.2">
      <c r="A50" s="11"/>
      <c r="B50" s="11"/>
      <c r="C50" s="11"/>
      <c r="D50" s="11"/>
      <c r="E50" s="11"/>
      <c r="F50" s="11"/>
      <c r="G50" s="11"/>
      <c r="H50" s="11"/>
      <c r="I50" s="11"/>
      <c r="J50" s="11"/>
      <c r="K50" s="11"/>
      <c r="L50" s="11"/>
      <c r="M50" s="11"/>
    </row>
    <row r="51" spans="1:13" x14ac:dyDescent="0.2">
      <c r="A51" s="11"/>
      <c r="B51" s="11"/>
      <c r="C51" s="11"/>
      <c r="D51" s="11"/>
      <c r="E51" s="11"/>
      <c r="F51" s="11"/>
      <c r="G51" s="11"/>
      <c r="H51" s="11"/>
      <c r="I51" s="11"/>
      <c r="J51" s="11"/>
      <c r="K51" s="11"/>
      <c r="L51" s="11"/>
      <c r="M51" s="11"/>
    </row>
    <row r="52" spans="1:13" x14ac:dyDescent="0.2">
      <c r="A52" s="11"/>
      <c r="B52" s="11"/>
      <c r="C52" s="11"/>
      <c r="D52" s="11"/>
      <c r="E52" s="11"/>
      <c r="F52" s="11"/>
      <c r="G52" s="11"/>
      <c r="H52" s="11"/>
      <c r="I52" s="11"/>
      <c r="J52" s="11"/>
      <c r="K52" s="11"/>
      <c r="L52" s="11"/>
      <c r="M52" s="11"/>
    </row>
  </sheetData>
  <conditionalFormatting sqref="E20:M21">
    <cfRule type="cellIs" dxfId="73" priority="15" operator="lessThan">
      <formula>0</formula>
    </cfRule>
    <cfRule type="cellIs" dxfId="72" priority="16" operator="greaterThan">
      <formula>0</formula>
    </cfRule>
  </conditionalFormatting>
  <conditionalFormatting sqref="G21:M21">
    <cfRule type="cellIs" dxfId="71" priority="29" operator="lessThan">
      <formula>0</formula>
    </cfRule>
    <cfRule type="cellIs" dxfId="70" priority="30" operator="greaterThan">
      <formula>0</formula>
    </cfRule>
  </conditionalFormatting>
  <conditionalFormatting sqref="I35:L40">
    <cfRule type="cellIs" dxfId="69" priority="3" operator="lessThan">
      <formula>0</formula>
    </cfRule>
    <cfRule type="cellIs" dxfId="68" priority="4" operator="greater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713C-4506-4048-8859-D7AB392CF00E}">
  <dimension ref="A1:P43"/>
  <sheetViews>
    <sheetView topLeftCell="A16" zoomScale="125" zoomScaleNormal="178" workbookViewId="0">
      <selection activeCell="L30" sqref="L30"/>
    </sheetView>
  </sheetViews>
  <sheetFormatPr baseColWidth="10" defaultColWidth="8.83203125" defaultRowHeight="15" x14ac:dyDescent="0.2"/>
  <cols>
    <col min="1" max="1" width="11" customWidth="1"/>
    <col min="4" max="4" width="10.83203125" customWidth="1"/>
    <col min="5" max="5" width="11.1640625" bestFit="1" customWidth="1"/>
    <col min="6" max="6" width="10.5" customWidth="1"/>
    <col min="7" max="7" width="11.5" bestFit="1" customWidth="1"/>
    <col min="8" max="8" width="11.5" customWidth="1"/>
    <col min="9" max="9" width="11.33203125" customWidth="1"/>
    <col min="10" max="10" width="11.6640625" customWidth="1"/>
    <col min="11" max="11" width="12.1640625" customWidth="1"/>
    <col min="12" max="13" width="11.5" customWidth="1"/>
  </cols>
  <sheetData>
    <row r="1" spans="1:16" x14ac:dyDescent="0.2">
      <c r="A1" t="s">
        <v>48</v>
      </c>
      <c r="C1" t="s">
        <v>49</v>
      </c>
      <c r="F1" t="s">
        <v>50</v>
      </c>
      <c r="G1" t="s">
        <v>51</v>
      </c>
      <c r="P1" s="8"/>
    </row>
    <row r="2" spans="1:16" x14ac:dyDescent="0.2">
      <c r="A2" t="s">
        <v>52</v>
      </c>
      <c r="C2">
        <v>8500</v>
      </c>
      <c r="F2" t="s">
        <v>53</v>
      </c>
      <c r="G2">
        <v>1000</v>
      </c>
      <c r="P2" s="8"/>
    </row>
    <row r="3" spans="1:16" x14ac:dyDescent="0.2">
      <c r="A3" t="s">
        <v>5</v>
      </c>
      <c r="C3" s="4"/>
      <c r="P3" s="8"/>
    </row>
    <row r="4" spans="1:16" x14ac:dyDescent="0.2">
      <c r="D4" t="s">
        <v>7</v>
      </c>
      <c r="E4" t="s">
        <v>8</v>
      </c>
      <c r="F4" t="s">
        <v>9</v>
      </c>
      <c r="G4" t="s">
        <v>10</v>
      </c>
      <c r="H4" t="s">
        <v>11</v>
      </c>
      <c r="I4" t="s">
        <v>12</v>
      </c>
      <c r="J4" t="s">
        <v>13</v>
      </c>
      <c r="K4" t="s">
        <v>14</v>
      </c>
      <c r="L4" t="s">
        <v>15</v>
      </c>
      <c r="P4" s="8"/>
    </row>
    <row r="5" spans="1:16" x14ac:dyDescent="0.2">
      <c r="A5" t="s">
        <v>40</v>
      </c>
      <c r="B5" t="s">
        <v>17</v>
      </c>
      <c r="C5" t="s">
        <v>54</v>
      </c>
      <c r="D5" s="5"/>
      <c r="E5" s="5"/>
      <c r="F5" s="5"/>
      <c r="G5" s="5">
        <f>4.8</f>
        <v>4.8</v>
      </c>
      <c r="H5" s="5">
        <v>4.9000000000000004</v>
      </c>
      <c r="I5" s="5">
        <v>4.6500000000000004</v>
      </c>
      <c r="J5" s="5">
        <v>4.76</v>
      </c>
      <c r="K5" s="5">
        <v>4.66</v>
      </c>
      <c r="L5" s="5">
        <v>4.67</v>
      </c>
      <c r="M5" s="5"/>
      <c r="P5" s="8"/>
    </row>
    <row r="6" spans="1:16" x14ac:dyDescent="0.2">
      <c r="A6" t="s">
        <v>42</v>
      </c>
      <c r="B6" t="s">
        <v>17</v>
      </c>
      <c r="E6" s="5"/>
      <c r="F6" s="5"/>
      <c r="G6" s="5">
        <f>49.19</f>
        <v>49.19</v>
      </c>
      <c r="H6" s="5">
        <v>51.81</v>
      </c>
      <c r="I6" s="5">
        <v>49.78</v>
      </c>
      <c r="J6" s="5">
        <v>49.58</v>
      </c>
      <c r="K6" s="5">
        <v>50.68</v>
      </c>
      <c r="L6" s="5">
        <v>52.5</v>
      </c>
      <c r="M6" s="5"/>
      <c r="P6" s="8"/>
    </row>
    <row r="7" spans="1:16" x14ac:dyDescent="0.2">
      <c r="P7" s="8"/>
    </row>
    <row r="8" spans="1:16" x14ac:dyDescent="0.2">
      <c r="B8" t="s">
        <v>20</v>
      </c>
      <c r="D8" s="5"/>
      <c r="E8" s="5"/>
      <c r="F8" s="5"/>
      <c r="G8" s="5">
        <f t="shared" ref="G8:L8" si="0">-$C2*G5+$G2*G6</f>
        <v>8390</v>
      </c>
      <c r="H8" s="5">
        <f t="shared" si="0"/>
        <v>10160</v>
      </c>
      <c r="I8" s="5">
        <f t="shared" si="0"/>
        <v>10255</v>
      </c>
      <c r="J8" s="5">
        <f t="shared" si="0"/>
        <v>9120</v>
      </c>
      <c r="K8" s="5">
        <f t="shared" si="0"/>
        <v>11070</v>
      </c>
      <c r="L8" s="5">
        <f t="shared" si="0"/>
        <v>12805</v>
      </c>
      <c r="M8" s="5"/>
      <c r="P8" s="8"/>
    </row>
    <row r="9" spans="1:16" x14ac:dyDescent="0.2">
      <c r="B9" t="s">
        <v>39</v>
      </c>
      <c r="D9" s="5"/>
      <c r="E9" s="5"/>
      <c r="F9" s="5">
        <v>10000</v>
      </c>
      <c r="G9" s="5">
        <f>F9-G8</f>
        <v>1610</v>
      </c>
      <c r="H9" s="5">
        <f>G9</f>
        <v>1610</v>
      </c>
      <c r="I9" s="5">
        <f t="shared" ref="I9:L9" si="1">H9</f>
        <v>1610</v>
      </c>
      <c r="J9" s="5">
        <f t="shared" si="1"/>
        <v>1610</v>
      </c>
      <c r="K9" s="5">
        <f t="shared" si="1"/>
        <v>1610</v>
      </c>
      <c r="L9" s="5">
        <f t="shared" si="1"/>
        <v>1610</v>
      </c>
      <c r="M9" s="5"/>
      <c r="P9" s="8"/>
    </row>
    <row r="10" spans="1:16" x14ac:dyDescent="0.2">
      <c r="P10" s="8"/>
    </row>
    <row r="11" spans="1:16" x14ac:dyDescent="0.2">
      <c r="P11" s="8"/>
    </row>
    <row r="12" spans="1:16" x14ac:dyDescent="0.2">
      <c r="P12" s="8"/>
    </row>
    <row r="13" spans="1:16" x14ac:dyDescent="0.2">
      <c r="P13" s="8"/>
    </row>
    <row r="14" spans="1:16" x14ac:dyDescent="0.2">
      <c r="P14" s="8"/>
    </row>
    <row r="15" spans="1:16" x14ac:dyDescent="0.2">
      <c r="P15" s="8"/>
    </row>
    <row r="16" spans="1:16" x14ac:dyDescent="0.2">
      <c r="A16" t="s">
        <v>30</v>
      </c>
      <c r="E16" s="5"/>
      <c r="F16" s="5"/>
      <c r="G16" s="5"/>
      <c r="H16" s="5">
        <f>H8-G8</f>
        <v>1770</v>
      </c>
      <c r="I16" s="5">
        <f t="shared" ref="I16:L16" si="2">I8-H8</f>
        <v>95</v>
      </c>
      <c r="J16" s="5">
        <f t="shared" si="2"/>
        <v>-1135</v>
      </c>
      <c r="K16" s="5">
        <f t="shared" si="2"/>
        <v>1950</v>
      </c>
      <c r="L16" s="5">
        <f t="shared" si="2"/>
        <v>1735</v>
      </c>
      <c r="M16" s="5"/>
      <c r="P16" s="8"/>
    </row>
    <row r="17" spans="1:16" x14ac:dyDescent="0.2">
      <c r="A17" t="s">
        <v>31</v>
      </c>
      <c r="E17" s="5"/>
      <c r="F17" s="5"/>
      <c r="G17" s="5"/>
      <c r="H17" s="5">
        <f>H8-$G8</f>
        <v>1770</v>
      </c>
      <c r="I17" s="5">
        <f t="shared" ref="I17:L17" si="3">I8-$G8</f>
        <v>1865</v>
      </c>
      <c r="J17" s="5">
        <f t="shared" si="3"/>
        <v>730</v>
      </c>
      <c r="K17" s="5">
        <f t="shared" si="3"/>
        <v>2680</v>
      </c>
      <c r="L17" s="5">
        <f t="shared" si="3"/>
        <v>4415</v>
      </c>
      <c r="M17" s="5"/>
      <c r="P17" s="8"/>
    </row>
    <row r="18" spans="1:16" x14ac:dyDescent="0.2">
      <c r="P18" s="8"/>
    </row>
    <row r="19" spans="1:16" x14ac:dyDescent="0.2">
      <c r="A19" s="8"/>
      <c r="B19" s="8"/>
      <c r="C19" s="8"/>
      <c r="D19" s="8"/>
      <c r="E19" s="8"/>
      <c r="F19" s="8"/>
      <c r="G19" s="8"/>
      <c r="H19" s="8"/>
      <c r="I19" s="8"/>
      <c r="J19" s="8"/>
      <c r="K19" s="8"/>
      <c r="L19" s="8"/>
      <c r="M19" s="8"/>
      <c r="N19" s="8"/>
      <c r="O19" s="8"/>
      <c r="P19" s="8"/>
    </row>
    <row r="20" spans="1:16" x14ac:dyDescent="0.2">
      <c r="A20" s="11" t="s">
        <v>32</v>
      </c>
      <c r="B20" s="11"/>
      <c r="C20" s="11" t="s">
        <v>55</v>
      </c>
      <c r="D20" s="11"/>
      <c r="E20" s="11"/>
      <c r="F20" s="11"/>
      <c r="G20" s="11"/>
      <c r="H20" s="11"/>
      <c r="I20" s="11"/>
      <c r="J20" s="11"/>
      <c r="K20" s="11"/>
      <c r="L20" s="11"/>
      <c r="M20" s="11"/>
    </row>
    <row r="21" spans="1:16" x14ac:dyDescent="0.2">
      <c r="A21" s="11"/>
      <c r="B21" s="11"/>
      <c r="C21" s="11"/>
      <c r="D21" s="11"/>
      <c r="E21" s="11"/>
      <c r="F21" s="11"/>
      <c r="G21" s="11"/>
      <c r="H21" s="11"/>
      <c r="I21" s="11"/>
      <c r="J21" s="11"/>
      <c r="K21" s="11"/>
      <c r="L21" s="11"/>
      <c r="M21" s="11"/>
    </row>
    <row r="22" spans="1:16" x14ac:dyDescent="0.2">
      <c r="A22" s="11" t="s">
        <v>48</v>
      </c>
      <c r="B22" s="11" t="e" vm="32">
        <v>#VALUE!</v>
      </c>
      <c r="C22" s="11"/>
      <c r="D22" s="11"/>
      <c r="E22" s="11"/>
      <c r="F22" s="11"/>
      <c r="G22" s="25"/>
      <c r="H22" s="25"/>
      <c r="I22" s="11" t="s">
        <v>102</v>
      </c>
      <c r="J22" s="22">
        <v>151</v>
      </c>
      <c r="K22" s="22"/>
      <c r="L22" s="22" t="s">
        <v>103</v>
      </c>
      <c r="M22" s="26">
        <f ca="1">$J$22*(2*$G$30-C30)</f>
        <v>1349.9399999999998</v>
      </c>
    </row>
    <row r="23" spans="1:16" x14ac:dyDescent="0.2">
      <c r="A23" s="11" t="s">
        <v>105</v>
      </c>
      <c r="B23" s="11" t="e" vm="33">
        <v>#VALUE!</v>
      </c>
      <c r="C23" s="12"/>
      <c r="D23" s="11"/>
      <c r="E23" s="11"/>
      <c r="F23" s="11"/>
      <c r="G23" s="25"/>
      <c r="H23" s="25"/>
      <c r="I23" s="11" t="s">
        <v>102</v>
      </c>
      <c r="J23" s="22">
        <v>15</v>
      </c>
      <c r="K23" s="22"/>
      <c r="L23" s="22" t="s">
        <v>103</v>
      </c>
      <c r="M23" s="26">
        <f t="shared" ref="M23:M25" ca="1" si="4">J23*C31</f>
        <v>3214.9500000000003</v>
      </c>
    </row>
    <row r="24" spans="1:16" x14ac:dyDescent="0.2">
      <c r="A24" s="11" t="s">
        <v>106</v>
      </c>
      <c r="B24" s="11" t="e" vm="34">
        <v>#VALUE!</v>
      </c>
      <c r="C24" s="13"/>
      <c r="D24" s="11"/>
      <c r="E24" s="11"/>
      <c r="F24" s="11"/>
      <c r="G24" s="25"/>
      <c r="H24" s="25"/>
      <c r="I24" s="11" t="s">
        <v>102</v>
      </c>
      <c r="J24" s="11">
        <v>9</v>
      </c>
      <c r="K24" s="11"/>
      <c r="L24" s="22" t="s">
        <v>103</v>
      </c>
      <c r="M24" s="26">
        <f t="shared" ca="1" si="4"/>
        <v>2763.36</v>
      </c>
    </row>
    <row r="25" spans="1:16" x14ac:dyDescent="0.2">
      <c r="A25" s="11" t="s">
        <v>107</v>
      </c>
      <c r="B25" s="22" t="e" vm="35">
        <v>#VALUE!</v>
      </c>
      <c r="C25" s="14"/>
      <c r="D25" s="11"/>
      <c r="E25" s="11"/>
      <c r="F25" s="11"/>
      <c r="G25" s="13"/>
      <c r="H25" s="13"/>
      <c r="I25" s="11" t="s">
        <v>102</v>
      </c>
      <c r="J25" s="11">
        <v>7</v>
      </c>
      <c r="K25" s="11"/>
      <c r="L25" s="22" t="s">
        <v>103</v>
      </c>
      <c r="M25" s="26">
        <f t="shared" ca="1" si="4"/>
        <v>2397.64</v>
      </c>
    </row>
    <row r="26" spans="1:16" x14ac:dyDescent="0.2">
      <c r="A26" s="22"/>
      <c r="B26" s="22"/>
      <c r="C26" s="15"/>
      <c r="D26" s="11"/>
      <c r="E26" s="11"/>
      <c r="F26" s="11"/>
      <c r="G26" s="13"/>
      <c r="H26" s="13"/>
      <c r="I26" s="11"/>
      <c r="J26" s="11"/>
      <c r="K26" s="11"/>
      <c r="L26" s="22"/>
      <c r="M26" s="26"/>
    </row>
    <row r="27" spans="1:16" x14ac:dyDescent="0.2">
      <c r="A27" s="11"/>
      <c r="B27" s="11"/>
      <c r="C27" s="11"/>
      <c r="D27" s="11"/>
      <c r="E27" s="11"/>
      <c r="F27" s="11"/>
      <c r="G27" s="11"/>
      <c r="H27" s="11"/>
      <c r="I27" s="11"/>
      <c r="J27" s="11"/>
      <c r="K27" s="11"/>
      <c r="L27" s="11"/>
      <c r="M27" s="11"/>
    </row>
    <row r="28" spans="1:16" x14ac:dyDescent="0.2">
      <c r="A28" s="11"/>
      <c r="B28" s="11"/>
      <c r="C28" s="15"/>
      <c r="D28" s="11"/>
      <c r="E28" s="11"/>
      <c r="F28" s="11"/>
      <c r="G28" s="11"/>
      <c r="H28" s="11"/>
      <c r="I28" s="11"/>
      <c r="J28" s="11"/>
      <c r="K28" s="11"/>
      <c r="L28" s="11"/>
      <c r="M28" s="11"/>
    </row>
    <row r="29" spans="1:16" x14ac:dyDescent="0.2">
      <c r="A29" s="11"/>
      <c r="B29" s="11"/>
      <c r="C29" s="11" t="s">
        <v>100</v>
      </c>
      <c r="D29" s="11"/>
      <c r="E29" s="11" t="s">
        <v>8</v>
      </c>
      <c r="F29" s="11" t="s">
        <v>9</v>
      </c>
      <c r="G29" s="11" t="s">
        <v>10</v>
      </c>
      <c r="H29" s="11" t="s">
        <v>11</v>
      </c>
      <c r="I29" s="11" t="s">
        <v>12</v>
      </c>
      <c r="J29" s="11" t="s">
        <v>13</v>
      </c>
      <c r="K29" s="11" t="s">
        <v>14</v>
      </c>
      <c r="L29" s="11" t="s">
        <v>15</v>
      </c>
      <c r="M29" s="11"/>
    </row>
    <row r="30" spans="1:16" x14ac:dyDescent="0.2">
      <c r="A30" s="11" t="s">
        <v>40</v>
      </c>
      <c r="B30" s="11" t="s">
        <v>17</v>
      </c>
      <c r="C30" s="23" cm="1">
        <f t="array" aca="1" ref="C30" ca="1">_FV(B22,"Price")</f>
        <v>4.92</v>
      </c>
      <c r="D30" s="16"/>
      <c r="E30" s="16"/>
      <c r="F30" s="16"/>
      <c r="G30" s="16" cm="1" vm="36">
        <f t="array" aca="1" ref="G30" ca="1">_xlfn.STOCKHISTORY(B22, "2026-01-30", "2026-01-30", 0, 0, 1)</f>
        <v>6.93</v>
      </c>
      <c r="H30" s="16" cm="1" vm="37">
        <f t="array" aca="1" ref="H30" ca="1">_xlfn.STOCKHISTORY(B22, "2026-02-06", "2026-02-06", 0, 0, 1)</f>
        <v>5.22</v>
      </c>
      <c r="I30" s="16" cm="1" vm="38">
        <f t="array" aca="1" ref="I30" ca="1">_xlfn.STOCKHISTORY(B22, "2026-02-13", "2026-02-13", 0, 0, 1)</f>
        <v>4.83</v>
      </c>
      <c r="J30" s="16" cm="1" vm="39">
        <f t="array" aca="1" ref="J30" ca="1">_xlfn.STOCKHISTORY(B22, "2026-02-23", "2026-02-23", 0, 0, 1)</f>
        <v>4.93</v>
      </c>
      <c r="K30" s="16" cm="1" vm="40">
        <f t="array" aca="1" ref="K30" ca="1">_xlfn.STOCKHISTORY(B22, "2026-02-27", "2026-02-27", 0, 0, 1)</f>
        <v>5.21</v>
      </c>
      <c r="L30" s="16" cm="1" vm="41">
        <f t="array" aca="1" ref="L30" ca="1">_xlfn.STOCKHISTORY(B22, "2026-03-06", "2026-03-06", 0, 0, 4)</f>
        <v>5.07</v>
      </c>
      <c r="M30" s="16"/>
    </row>
    <row r="31" spans="1:16" x14ac:dyDescent="0.2">
      <c r="A31" s="11" t="s">
        <v>42</v>
      </c>
      <c r="B31" s="11" t="s">
        <v>17</v>
      </c>
      <c r="C31" s="23" cm="1">
        <f t="array" aca="1" ref="C31" ca="1">_FV(B23,"Price")</f>
        <v>214.33</v>
      </c>
      <c r="D31" s="11"/>
      <c r="E31" s="11"/>
      <c r="F31" s="16"/>
      <c r="G31" s="16" cm="1" vm="42">
        <f t="array" aca="1" ref="G31" ca="1">_xlfn.STOCKHISTORY(B23, "2026-01-30", "2026-01-30", 0, 0, 1)</f>
        <v>239.3</v>
      </c>
      <c r="H31" s="16" cm="1" vm="43">
        <f t="array" aca="1" ref="H31" ca="1">_xlfn.STOCKHISTORY(B23, "2026-02-06", "2026-02-06", 0, 0, 1)</f>
        <v>210.32</v>
      </c>
      <c r="I31" s="16" cm="1" vm="44">
        <f t="array" aca="1" ref="I31" ca="1">_xlfn.STOCKHISTORY(B23, "2026-02-13", "2026-02-13", 0, 0, 1)</f>
        <v>198.79</v>
      </c>
      <c r="J31" s="16" cm="1" vm="45">
        <f t="array" aca="1" ref="J31" ca="1">_xlfn.STOCKHISTORY(B23, "2026-02-23", "2026-02-23", 0, 0, 1)</f>
        <v>205.27</v>
      </c>
      <c r="K31" s="16" cm="1" vm="46">
        <f t="array" aca="1" ref="K31" ca="1">_xlfn.STOCKHISTORY(B23, "2026-02-27", "2026-02-27", 0, 0, 1)</f>
        <v>210</v>
      </c>
      <c r="L31" s="16" cm="1" vm="47">
        <f t="array" aca="1" ref="L31" ca="1">_xlfn.STOCKHISTORY(B23, "2026-03-06", "2026-03-06", 0, 0, 3)</f>
        <v>217.32</v>
      </c>
      <c r="M31" s="11"/>
    </row>
    <row r="32" spans="1:16" x14ac:dyDescent="0.2">
      <c r="A32" s="11" t="s">
        <v>44</v>
      </c>
      <c r="B32" s="11" t="s">
        <v>17</v>
      </c>
      <c r="C32" s="23" cm="1">
        <f t="array" aca="1" ref="C32" ca="1">_FV(B24,"Price")</f>
        <v>307.04000000000002</v>
      </c>
      <c r="D32" s="11"/>
      <c r="E32" s="11"/>
      <c r="F32" s="16"/>
      <c r="G32" s="16" cm="1" vm="48">
        <f t="array" aca="1" ref="G32" ca="1">_xlfn.STOCKHISTORY(B24, "2026-01-30", "2026-01-30", 0, 0, 1)</f>
        <v>338</v>
      </c>
      <c r="H32" s="16" cm="1" vm="49">
        <f t="array" aca="1" ref="H32" ca="1">_xlfn.STOCKHISTORY(B24, "2026-02-06", "2026-02-06", 0, 0, 1)</f>
        <v>322.86</v>
      </c>
      <c r="I32" s="16" cm="1" vm="50">
        <f t="array" aca="1" ref="I32" ca="1">_xlfn.STOCKHISTORY(B24, "2026-02-13", "2026-02-13", 0, 0, 1)</f>
        <v>305.72000000000003</v>
      </c>
      <c r="J32" s="16" cm="1" vm="51">
        <f t="array" aca="1" ref="J32" ca="1">_xlfn.STOCKHISTORY(B24, "2026-02-23", "2026-02-23", 0, 0, 1)</f>
        <v>311.49</v>
      </c>
      <c r="K32" s="16" cm="1" vm="52">
        <f t="array" aca="1" ref="K32" ca="1">_xlfn.STOCKHISTORY(B24, "2026-02-27", "2026-02-27", 0, 0, 1)</f>
        <v>311.76</v>
      </c>
      <c r="L32" s="16" cm="1" vm="53">
        <f t="array" aca="1" ref="L32" ca="1">_xlfn.STOCKHISTORY(B24, "2026-03-06", "2026-03-06", 0, 0, 3)</f>
        <v>300.52999999999997</v>
      </c>
      <c r="M32" s="11"/>
    </row>
    <row r="33" spans="1:13" x14ac:dyDescent="0.2">
      <c r="A33" s="11" t="s">
        <v>45</v>
      </c>
      <c r="B33" s="11" t="s">
        <v>17</v>
      </c>
      <c r="C33" s="23" cm="1">
        <f t="array" aca="1" ref="C33" ca="1">_FV(B25,"Price")</f>
        <v>342.52</v>
      </c>
      <c r="D33" s="11"/>
      <c r="E33" s="16"/>
      <c r="F33" s="16"/>
      <c r="G33" s="16" cm="1" vm="54">
        <f t="array" aca="1" ref="G33" ca="1">_xlfn.STOCKHISTORY(B25, "2026-01-30", "2026-01-30", 0, 0, 1)</f>
        <v>331.3</v>
      </c>
      <c r="H33" s="16" cm="1" vm="55">
        <f t="array" aca="1" ref="H33" ca="1">_xlfn.STOCKHISTORY(B25, "2026-02-06", "2026-02-06", 0, 0, 1)</f>
        <v>332.92</v>
      </c>
      <c r="I33" s="16" cm="1" vm="56">
        <f t="array" aca="1" ref="I33" ca="1">_xlfn.STOCKHISTORY(B25, "2026-02-13", "2026-02-13", 0, 0, 1)</f>
        <v>325.17</v>
      </c>
      <c r="J33" s="16" cm="1" vm="57">
        <f t="array" aca="1" ref="J33" ca="1">_xlfn.STOCKHISTORY(B25, "2026-02-23", "2026-02-23", 0, 0, 1)</f>
        <v>330.34</v>
      </c>
      <c r="K33" s="16" cm="1" vm="58">
        <f t="array" aca="1" ref="K33" ca="1">_xlfn.STOCKHISTORY(B25, "2026-02-27", "2026-02-27", 0, 0, 1)</f>
        <v>319.55</v>
      </c>
      <c r="L33" s="16" cm="1" vm="59">
        <f t="array" aca="1" ref="L33" ca="1">_xlfn.STOCKHISTORY(B25, "2026-03-06", "2026-03-06", 0, 0, 3)</f>
        <v>343.51</v>
      </c>
      <c r="M33" s="16"/>
    </row>
    <row r="34" spans="1:13" x14ac:dyDescent="0.2">
      <c r="A34" s="11"/>
      <c r="B34" s="11"/>
      <c r="C34" s="23"/>
      <c r="D34" s="11"/>
      <c r="E34" s="11"/>
      <c r="F34" s="16"/>
      <c r="G34" s="16"/>
      <c r="H34" s="16"/>
      <c r="I34" s="16"/>
      <c r="J34" s="16"/>
      <c r="K34" s="16"/>
      <c r="L34" s="16"/>
      <c r="M34" s="11"/>
    </row>
    <row r="35" spans="1:13" x14ac:dyDescent="0.2">
      <c r="A35" s="11"/>
      <c r="B35" s="11"/>
      <c r="C35" s="11"/>
      <c r="D35" s="16"/>
      <c r="E35" s="16"/>
      <c r="F35" s="16"/>
      <c r="G35" s="16"/>
      <c r="H35" s="16"/>
      <c r="I35" s="16"/>
      <c r="J35" s="16"/>
      <c r="K35" s="16"/>
      <c r="L35" s="16"/>
      <c r="M35" s="16"/>
    </row>
    <row r="36" spans="1:13" x14ac:dyDescent="0.2">
      <c r="A36" s="11"/>
      <c r="B36" s="11" t="s">
        <v>20</v>
      </c>
      <c r="C36" s="11"/>
      <c r="D36" s="16"/>
      <c r="E36" s="16"/>
      <c r="F36" s="16"/>
      <c r="G36" s="16">
        <f ca="1">$J$22*G30+$J$23*G31+$J$24*G32+$J$25*G33</f>
        <v>9997.0300000000007</v>
      </c>
      <c r="H36" s="16">
        <f ca="1">$J$22*(2*$G$30-H30)+$J$23*H31+$J$24*H32+$J$25*H33</f>
        <v>9695.6200000000008</v>
      </c>
      <c r="I36" s="16">
        <f t="shared" ref="I36:L36" ca="1" si="5">$J$22*I30+$J$23*I31+$J$24*I32+$J$25*I33</f>
        <v>8738.85</v>
      </c>
      <c r="J36" s="16">
        <f t="shared" ca="1" si="5"/>
        <v>8939.2699999999986</v>
      </c>
      <c r="K36" s="16">
        <f t="shared" ca="1" si="5"/>
        <v>8979.4</v>
      </c>
      <c r="L36" s="16">
        <f t="shared" ca="1" si="5"/>
        <v>9134.7099999999991</v>
      </c>
      <c r="M36" s="16"/>
    </row>
    <row r="37" spans="1:13" x14ac:dyDescent="0.2">
      <c r="A37" s="11"/>
      <c r="B37" s="11" t="s">
        <v>39</v>
      </c>
      <c r="C37" s="11"/>
      <c r="D37" s="11"/>
      <c r="E37" s="11"/>
      <c r="F37" s="16"/>
      <c r="G37" s="16">
        <f t="shared" ref="G37" ca="1" si="6">10000-G36</f>
        <v>2.9699999999993452</v>
      </c>
      <c r="H37" s="16">
        <f ca="1">G37</f>
        <v>2.9699999999993452</v>
      </c>
      <c r="I37" s="16">
        <f ca="1">H37</f>
        <v>2.9699999999993452</v>
      </c>
      <c r="J37" s="16">
        <f t="shared" ref="J37:L37" ca="1" si="7">I37</f>
        <v>2.9699999999993452</v>
      </c>
      <c r="K37" s="16">
        <f t="shared" ca="1" si="7"/>
        <v>2.9699999999993452</v>
      </c>
      <c r="L37" s="16">
        <f t="shared" ca="1" si="7"/>
        <v>2.9699999999993452</v>
      </c>
      <c r="M37" s="11"/>
    </row>
    <row r="38" spans="1:13" x14ac:dyDescent="0.2">
      <c r="A38" s="11"/>
      <c r="B38" s="11"/>
      <c r="C38" s="11"/>
      <c r="D38" s="11"/>
      <c r="E38" s="11"/>
      <c r="F38" s="11"/>
      <c r="G38" s="11"/>
      <c r="H38" s="11"/>
      <c r="I38" s="11"/>
      <c r="J38" s="11"/>
      <c r="K38" s="11"/>
      <c r="L38" s="11"/>
      <c r="M38" s="11"/>
    </row>
    <row r="39" spans="1:13" x14ac:dyDescent="0.2">
      <c r="A39" s="11"/>
      <c r="B39" s="11"/>
      <c r="C39" s="11"/>
      <c r="D39" s="11"/>
      <c r="E39" s="11"/>
      <c r="F39" s="11"/>
      <c r="G39" s="11"/>
      <c r="H39" s="11"/>
      <c r="I39" s="11"/>
      <c r="J39" s="11"/>
      <c r="K39" s="11"/>
      <c r="L39" s="11"/>
      <c r="M39" s="11"/>
    </row>
    <row r="40" spans="1:13" x14ac:dyDescent="0.2">
      <c r="A40" s="11"/>
      <c r="B40" s="11"/>
      <c r="C40" s="11"/>
      <c r="D40" s="11"/>
      <c r="E40" s="11"/>
      <c r="F40" s="11"/>
      <c r="G40" s="11"/>
      <c r="H40" s="11"/>
      <c r="I40" s="11"/>
      <c r="J40" s="11"/>
      <c r="K40" s="11"/>
      <c r="L40" s="11"/>
      <c r="M40" s="11"/>
    </row>
    <row r="41" spans="1:13" x14ac:dyDescent="0.2">
      <c r="A41" s="11" t="s">
        <v>30</v>
      </c>
      <c r="B41" s="11"/>
      <c r="C41" s="11"/>
      <c r="D41" s="11"/>
      <c r="E41" s="11"/>
      <c r="F41" s="11"/>
      <c r="G41" s="16"/>
      <c r="H41" s="16">
        <f ca="1">H36-G36</f>
        <v>-301.40999999999985</v>
      </c>
      <c r="I41" s="16">
        <f t="shared" ref="I41" ca="1" si="8">I36-H36</f>
        <v>-956.77000000000044</v>
      </c>
      <c r="J41" s="16">
        <f ca="1">J36-I36</f>
        <v>200.41999999999825</v>
      </c>
      <c r="K41" s="16">
        <f ca="1">K36-J36</f>
        <v>40.130000000001019</v>
      </c>
      <c r="L41" s="16">
        <f ca="1">L36-K36</f>
        <v>155.30999999999949</v>
      </c>
      <c r="M41" s="11"/>
    </row>
    <row r="42" spans="1:13" x14ac:dyDescent="0.2">
      <c r="A42" s="11" t="s">
        <v>31</v>
      </c>
      <c r="B42" s="11"/>
      <c r="C42" s="11"/>
      <c r="D42" s="11"/>
      <c r="E42" s="11"/>
      <c r="F42" s="11"/>
      <c r="G42" s="16"/>
      <c r="H42" s="16">
        <f ca="1">H36-$G$36</f>
        <v>-301.40999999999985</v>
      </c>
      <c r="I42" s="16">
        <f t="shared" ref="I42:L42" ca="1" si="9">I36-$G$36</f>
        <v>-1258.1800000000003</v>
      </c>
      <c r="J42" s="16">
        <f t="shared" ca="1" si="9"/>
        <v>-1057.760000000002</v>
      </c>
      <c r="K42" s="16">
        <f t="shared" ca="1" si="9"/>
        <v>-1017.630000000001</v>
      </c>
      <c r="L42" s="16">
        <f t="shared" ca="1" si="9"/>
        <v>-862.32000000000153</v>
      </c>
      <c r="M42" s="11"/>
    </row>
    <row r="43" spans="1:13" x14ac:dyDescent="0.2">
      <c r="A43" s="11"/>
      <c r="B43" s="11"/>
      <c r="C43" s="11"/>
      <c r="D43" s="11"/>
      <c r="E43" s="11"/>
      <c r="F43" s="11"/>
      <c r="G43" s="11"/>
      <c r="H43" s="11"/>
      <c r="I43" s="11"/>
      <c r="J43" s="11"/>
      <c r="K43" s="11"/>
      <c r="L43" s="11"/>
      <c r="M43" s="11"/>
    </row>
  </sheetData>
  <conditionalFormatting sqref="E16:M17">
    <cfRule type="cellIs" dxfId="65" priority="13" operator="lessThan">
      <formula>0</formula>
    </cfRule>
    <cfRule type="cellIs" dxfId="64" priority="14" operator="greaterThan">
      <formula>0</formula>
    </cfRule>
  </conditionalFormatting>
  <conditionalFormatting sqref="I30:L35">
    <cfRule type="cellIs" dxfId="63" priority="1" operator="lessThan">
      <formula>0</formula>
    </cfRule>
    <cfRule type="cellIs" dxfId="62"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EDF5-A3C9-49B6-B701-84BEF4D9E1A3}">
  <dimension ref="A1:X57"/>
  <sheetViews>
    <sheetView topLeftCell="A23" zoomScale="138" workbookViewId="0">
      <selection activeCell="H47" sqref="H47"/>
    </sheetView>
  </sheetViews>
  <sheetFormatPr baseColWidth="10" defaultColWidth="8.83203125" defaultRowHeight="15" x14ac:dyDescent="0.2"/>
  <cols>
    <col min="3" max="3" width="12.33203125" customWidth="1"/>
    <col min="5" max="5" width="12" bestFit="1" customWidth="1"/>
    <col min="7" max="7" width="11.33203125" customWidth="1"/>
    <col min="8" max="8" width="11.83203125" customWidth="1"/>
    <col min="9" max="9" width="13.1640625" customWidth="1"/>
    <col min="10" max="10" width="10.83203125" bestFit="1" customWidth="1"/>
    <col min="11" max="11" width="16" customWidth="1"/>
    <col min="12" max="12" width="10.5" customWidth="1"/>
    <col min="13" max="13" width="9.5" bestFit="1" customWidth="1"/>
    <col min="15" max="15" width="24.83203125" bestFit="1" customWidth="1"/>
  </cols>
  <sheetData>
    <row r="1" spans="1:21" x14ac:dyDescent="0.2">
      <c r="A1" t="s">
        <v>56</v>
      </c>
      <c r="N1" s="8"/>
    </row>
    <row r="2" spans="1:21" x14ac:dyDescent="0.2">
      <c r="A2" t="s">
        <v>57</v>
      </c>
      <c r="B2">
        <v>3</v>
      </c>
      <c r="C2" t="s">
        <v>58</v>
      </c>
      <c r="E2" s="1">
        <v>4.58E-2</v>
      </c>
      <c r="N2" s="8"/>
    </row>
    <row r="3" spans="1:21" x14ac:dyDescent="0.2">
      <c r="C3" t="s">
        <v>59</v>
      </c>
      <c r="E3">
        <f>E2/52</f>
        <v>8.8076923076923076E-4</v>
      </c>
      <c r="N3" s="8"/>
    </row>
    <row r="4" spans="1:21" x14ac:dyDescent="0.2">
      <c r="N4" s="8"/>
    </row>
    <row r="5" spans="1:21" x14ac:dyDescent="0.2">
      <c r="A5" t="s">
        <v>40</v>
      </c>
      <c r="B5" t="s">
        <v>60</v>
      </c>
      <c r="E5" t="s">
        <v>38</v>
      </c>
      <c r="F5">
        <v>55</v>
      </c>
      <c r="N5" s="8"/>
    </row>
    <row r="6" spans="1:21" x14ac:dyDescent="0.2">
      <c r="A6" t="s">
        <v>42</v>
      </c>
      <c r="B6" t="s">
        <v>61</v>
      </c>
      <c r="E6" t="s">
        <v>38</v>
      </c>
      <c r="F6">
        <v>70</v>
      </c>
      <c r="N6" s="8"/>
    </row>
    <row r="7" spans="1:21" x14ac:dyDescent="0.2">
      <c r="A7" t="s">
        <v>44</v>
      </c>
      <c r="B7" t="s">
        <v>62</v>
      </c>
      <c r="E7" t="s">
        <v>38</v>
      </c>
      <c r="F7">
        <v>10</v>
      </c>
      <c r="N7" s="8"/>
    </row>
    <row r="8" spans="1:21" x14ac:dyDescent="0.2">
      <c r="A8" t="s">
        <v>45</v>
      </c>
      <c r="N8" s="8"/>
    </row>
    <row r="9" spans="1:21" x14ac:dyDescent="0.2">
      <c r="A9" t="s">
        <v>46</v>
      </c>
      <c r="N9" s="8"/>
    </row>
    <row r="10" spans="1:21" x14ac:dyDescent="0.2">
      <c r="A10" t="s">
        <v>63</v>
      </c>
      <c r="C10" s="5">
        <f>H17-10000</f>
        <v>3876.5499999999993</v>
      </c>
      <c r="N10" s="8"/>
    </row>
    <row r="11" spans="1:21" x14ac:dyDescent="0.2">
      <c r="C11" s="5"/>
      <c r="N11" s="8"/>
    </row>
    <row r="12" spans="1:21" x14ac:dyDescent="0.2">
      <c r="D12" t="s">
        <v>7</v>
      </c>
      <c r="E12" t="s">
        <v>8</v>
      </c>
      <c r="F12" t="s">
        <v>9</v>
      </c>
      <c r="G12" t="s">
        <v>10</v>
      </c>
      <c r="H12" t="s">
        <v>11</v>
      </c>
      <c r="I12" t="s">
        <v>12</v>
      </c>
      <c r="J12" t="s">
        <v>13</v>
      </c>
      <c r="K12" t="s">
        <v>14</v>
      </c>
      <c r="L12" t="s">
        <v>15</v>
      </c>
      <c r="N12" s="8"/>
    </row>
    <row r="13" spans="1:21" x14ac:dyDescent="0.2">
      <c r="A13" t="s">
        <v>40</v>
      </c>
      <c r="H13" s="5">
        <v>103.21</v>
      </c>
      <c r="I13" s="5">
        <v>108</v>
      </c>
      <c r="J13" s="5">
        <v>107.44</v>
      </c>
      <c r="K13" s="5">
        <v>104.54</v>
      </c>
      <c r="L13" s="5">
        <v>105.9</v>
      </c>
      <c r="N13" s="8"/>
      <c r="R13" s="5"/>
      <c r="S13" s="5"/>
      <c r="T13" s="5"/>
      <c r="U13" s="5"/>
    </row>
    <row r="14" spans="1:21" x14ac:dyDescent="0.2">
      <c r="A14" t="s">
        <v>42</v>
      </c>
      <c r="H14" s="5">
        <v>83.8</v>
      </c>
      <c r="I14" s="5">
        <v>91.5</v>
      </c>
      <c r="J14" s="5">
        <v>86.7</v>
      </c>
      <c r="K14" s="5">
        <v>86.68</v>
      </c>
      <c r="L14" s="5">
        <v>87.34</v>
      </c>
      <c r="N14" s="8"/>
      <c r="R14" s="5"/>
    </row>
    <row r="15" spans="1:21" x14ac:dyDescent="0.2">
      <c r="A15" t="s">
        <v>44</v>
      </c>
      <c r="H15" s="5">
        <v>233.4</v>
      </c>
      <c r="I15" s="5">
        <v>235.3</v>
      </c>
      <c r="J15" s="5">
        <v>238.3</v>
      </c>
      <c r="K15" s="5">
        <v>240.47</v>
      </c>
      <c r="L15" s="5">
        <v>238.4</v>
      </c>
      <c r="N15" s="8"/>
      <c r="R15" s="5"/>
    </row>
    <row r="16" spans="1:21" x14ac:dyDescent="0.2">
      <c r="N16" s="8"/>
    </row>
    <row r="17" spans="1:24" x14ac:dyDescent="0.2">
      <c r="A17" t="s">
        <v>64</v>
      </c>
      <c r="H17">
        <f>SUMPRODUCT($F5:$F7,H13:H15)</f>
        <v>13876.55</v>
      </c>
      <c r="I17">
        <f>SUMPRODUCT($F5:$F7,I13:I15)</f>
        <v>14698</v>
      </c>
      <c r="J17">
        <f>SUMPRODUCT($F5:$F7,J13:J15)</f>
        <v>14361.2</v>
      </c>
      <c r="K17">
        <f>SUMPRODUCT($F5:$F7,K13:K15)</f>
        <v>14222</v>
      </c>
      <c r="L17">
        <f>SUMPRODUCT($F5:$F7,L13:L15)</f>
        <v>14322.3</v>
      </c>
      <c r="N17" s="8"/>
      <c r="S17" s="5"/>
    </row>
    <row r="18" spans="1:24" x14ac:dyDescent="0.2">
      <c r="A18" t="s">
        <v>65</v>
      </c>
      <c r="H18" s="5"/>
      <c r="I18" s="5">
        <f>(C10+H18)*E3</f>
        <v>3.4143459615384608</v>
      </c>
      <c r="J18" s="5">
        <f>($C10+SUM($H18:I18))*$E3</f>
        <v>3.4173532124045849</v>
      </c>
      <c r="K18" s="5">
        <f>($C10+SUM($H18:J18))*$E3</f>
        <v>3.4203631119647415</v>
      </c>
      <c r="L18" s="5">
        <f>($C10+SUM($H18:K18))*$E3</f>
        <v>3.4233756625518184</v>
      </c>
      <c r="N18" s="8"/>
    </row>
    <row r="19" spans="1:24" x14ac:dyDescent="0.2">
      <c r="A19" t="s">
        <v>66</v>
      </c>
      <c r="E19" s="1"/>
      <c r="H19" s="5">
        <f>H17-$C10-H18</f>
        <v>10000</v>
      </c>
      <c r="I19" s="5">
        <f>I17-$C10-I18</f>
        <v>10818.035654038462</v>
      </c>
      <c r="J19" s="5">
        <f>J17-$C10-SUM($H18:J18)</f>
        <v>10477.818300826058</v>
      </c>
      <c r="K19" s="5">
        <f>K17-$C10-SUM($H18:K18)</f>
        <v>10335.197937714092</v>
      </c>
      <c r="L19" s="5">
        <f>L17-$C10-SUM($H18:L18)</f>
        <v>10432.074562051541</v>
      </c>
      <c r="N19" s="8"/>
    </row>
    <row r="20" spans="1:24" x14ac:dyDescent="0.2">
      <c r="N20" s="8"/>
    </row>
    <row r="21" spans="1:24" x14ac:dyDescent="0.2">
      <c r="A21" t="s">
        <v>30</v>
      </c>
      <c r="E21" s="5"/>
      <c r="F21" s="5"/>
      <c r="G21" s="5"/>
      <c r="I21" s="5">
        <f>I17-H17-H18</f>
        <v>821.45000000000073</v>
      </c>
      <c r="J21" s="5">
        <f>J17-I17-I18</f>
        <v>-340.21434596153773</v>
      </c>
      <c r="K21" s="5">
        <f>K17-J17-J18</f>
        <v>-142.61735321240531</v>
      </c>
      <c r="L21" s="5">
        <f>L17-K17-K18</f>
        <v>96.879636888034526</v>
      </c>
      <c r="N21" s="8"/>
      <c r="S21" s="5"/>
    </row>
    <row r="22" spans="1:24" x14ac:dyDescent="0.2">
      <c r="A22" t="s">
        <v>31</v>
      </c>
      <c r="E22" s="5"/>
      <c r="F22" s="5"/>
      <c r="G22" s="5"/>
      <c r="I22" s="5">
        <f>(I17-$H17)-I18</f>
        <v>818.03565403846221</v>
      </c>
      <c r="J22" s="5">
        <f t="shared" ref="J22:L22" si="0">(J17-$H17)-J18</f>
        <v>481.23264678759688</v>
      </c>
      <c r="K22" s="5">
        <f t="shared" si="0"/>
        <v>342.02963688803601</v>
      </c>
      <c r="L22" s="5">
        <f t="shared" si="0"/>
        <v>442.32662433744821</v>
      </c>
      <c r="N22" s="8"/>
      <c r="Q22" s="5"/>
      <c r="R22" s="5"/>
      <c r="S22" s="5"/>
      <c r="T22" s="5"/>
      <c r="U22" s="5"/>
      <c r="V22" s="5"/>
      <c r="W22" s="5"/>
      <c r="X22" s="5"/>
    </row>
    <row r="23" spans="1:24" x14ac:dyDescent="0.2">
      <c r="E23" s="5"/>
      <c r="N23" s="8"/>
    </row>
    <row r="24" spans="1:24" x14ac:dyDescent="0.2">
      <c r="A24" s="8"/>
      <c r="B24" s="8"/>
      <c r="C24" s="8"/>
      <c r="D24" s="8"/>
      <c r="E24" s="8"/>
      <c r="F24" s="8"/>
      <c r="G24" s="8"/>
      <c r="H24" s="8"/>
      <c r="I24" s="8"/>
      <c r="J24" s="8"/>
      <c r="K24" s="8"/>
      <c r="L24" s="8"/>
      <c r="M24" s="8"/>
      <c r="N24" s="8"/>
    </row>
    <row r="25" spans="1:24" x14ac:dyDescent="0.2">
      <c r="A25" t="s">
        <v>67</v>
      </c>
    </row>
    <row r="26" spans="1:24" x14ac:dyDescent="0.2">
      <c r="E26" s="5"/>
    </row>
    <row r="27" spans="1:24" x14ac:dyDescent="0.2">
      <c r="A27" t="s">
        <v>57</v>
      </c>
      <c r="C27" t="s">
        <v>58</v>
      </c>
      <c r="E27" s="1">
        <v>3.6400000000000002E-2</v>
      </c>
      <c r="G27" s="30"/>
      <c r="I27" s="1"/>
    </row>
    <row r="28" spans="1:24" x14ac:dyDescent="0.2">
      <c r="C28" t="s">
        <v>59</v>
      </c>
      <c r="E28">
        <f>E27/52</f>
        <v>6.9999999999999999E-4</v>
      </c>
    </row>
    <row r="30" spans="1:24" x14ac:dyDescent="0.2">
      <c r="A30" t="s">
        <v>40</v>
      </c>
      <c r="B30" t="e" vm="2">
        <v>#VALUE!</v>
      </c>
      <c r="G30" t="s">
        <v>102</v>
      </c>
      <c r="H30">
        <v>48</v>
      </c>
      <c r="J30" t="s">
        <v>103</v>
      </c>
      <c r="K30" s="27">
        <f>H30*C38</f>
        <v>8899.68</v>
      </c>
    </row>
    <row r="31" spans="1:24" x14ac:dyDescent="0.2">
      <c r="A31" t="s">
        <v>42</v>
      </c>
      <c r="B31" t="e" vm="60">
        <v>#VALUE!</v>
      </c>
      <c r="G31" t="s">
        <v>102</v>
      </c>
      <c r="H31">
        <v>78</v>
      </c>
      <c r="J31" t="s">
        <v>103</v>
      </c>
      <c r="K31" s="27">
        <f t="shared" ref="K31:K34" si="1">H31*C39</f>
        <v>6459.9599999999991</v>
      </c>
      <c r="O31" s="5"/>
    </row>
    <row r="32" spans="1:24" x14ac:dyDescent="0.2">
      <c r="A32" t="s">
        <v>44</v>
      </c>
      <c r="B32" t="e" vm="61">
        <v>#VALUE!</v>
      </c>
      <c r="G32" t="s">
        <v>102</v>
      </c>
      <c r="H32">
        <v>52</v>
      </c>
      <c r="J32" t="s">
        <v>103</v>
      </c>
      <c r="K32" s="27">
        <f t="shared" si="1"/>
        <v>5908.76</v>
      </c>
    </row>
    <row r="33" spans="1:15" x14ac:dyDescent="0.2">
      <c r="A33" t="s">
        <v>45</v>
      </c>
      <c r="B33" t="e" vm="62">
        <v>#VALUE!</v>
      </c>
      <c r="G33" t="s">
        <v>102</v>
      </c>
      <c r="H33">
        <v>12</v>
      </c>
      <c r="J33" t="s">
        <v>103</v>
      </c>
      <c r="K33" s="27">
        <f t="shared" si="1"/>
        <v>4746</v>
      </c>
    </row>
    <row r="34" spans="1:15" x14ac:dyDescent="0.2">
      <c r="A34" t="s">
        <v>46</v>
      </c>
      <c r="B34" t="e" vm="63">
        <v>#VALUE!</v>
      </c>
      <c r="G34" t="s">
        <v>102</v>
      </c>
      <c r="H34">
        <v>24</v>
      </c>
      <c r="J34" t="s">
        <v>103</v>
      </c>
      <c r="K34" s="27">
        <f t="shared" si="1"/>
        <v>3962.88</v>
      </c>
    </row>
    <row r="35" spans="1:15" x14ac:dyDescent="0.2">
      <c r="A35" t="s">
        <v>63</v>
      </c>
      <c r="C35" s="29">
        <f ca="1">H44-10000</f>
        <v>19977.280000000002</v>
      </c>
      <c r="K35" s="27"/>
    </row>
    <row r="36" spans="1:15" x14ac:dyDescent="0.2">
      <c r="C36" s="5"/>
    </row>
    <row r="37" spans="1:15" x14ac:dyDescent="0.2">
      <c r="C37" t="s">
        <v>100</v>
      </c>
      <c r="D37" t="s">
        <v>7</v>
      </c>
      <c r="E37" t="s">
        <v>8</v>
      </c>
      <c r="F37" t="s">
        <v>9</v>
      </c>
      <c r="G37" t="s">
        <v>10</v>
      </c>
      <c r="H37" t="s">
        <v>11</v>
      </c>
      <c r="I37" t="s">
        <v>12</v>
      </c>
      <c r="J37" t="s">
        <v>13</v>
      </c>
      <c r="K37" t="s">
        <v>14</v>
      </c>
      <c r="L37" t="s">
        <v>15</v>
      </c>
    </row>
    <row r="38" spans="1:15" x14ac:dyDescent="0.2">
      <c r="A38" t="s">
        <v>40</v>
      </c>
      <c r="C38" s="27" vm="8">
        <v>185.41</v>
      </c>
      <c r="H38" s="5" cm="1" vm="8">
        <f t="array" aca="1" ref="H38" ca="1">_xlfn.STOCKHISTORY(B30, "2026-02-06", "2026-02-06", 0, 0, 1)</f>
        <v>185.41</v>
      </c>
      <c r="I38" s="5" cm="1" vm="9">
        <f t="array" aca="1" ref="I38" ca="1">_xlfn.STOCKHISTORY(B30, "2026-02-13", "2026-02-13", 0, 0, 1)</f>
        <v>182.81</v>
      </c>
      <c r="J38" s="5" cm="1" vm="10">
        <f t="array" aca="1" ref="J38" ca="1">_xlfn.STOCKHISTORY(B30, "2026-02-23", "2026-02-23", 0, 0, 1)</f>
        <v>191.55</v>
      </c>
      <c r="K38" s="5" cm="1" vm="64">
        <f t="array" aca="1" ref="K38" ca="1">_xlfn.STOCKHISTORY(B30, "2026-02-27", "2026-02-27", 0, 0, 1)</f>
        <v>177.19</v>
      </c>
      <c r="L38" s="5" cm="1" vm="65">
        <f t="array" aca="1" ref="L38" ca="1">_xlfn.STOCKHISTORY(B30, "2026-03-09", "2026-03-09", 0, 0, 3)</f>
        <v>182.91</v>
      </c>
    </row>
    <row r="39" spans="1:15" x14ac:dyDescent="0.2">
      <c r="A39" t="s">
        <v>42</v>
      </c>
      <c r="C39" s="27" vm="66">
        <v>82.82</v>
      </c>
      <c r="H39" s="5" cm="1" vm="66">
        <f t="array" aca="1" ref="H39" ca="1">_xlfn.STOCKHISTORY(B31, "2026-02-06", "2026-02-06", 0, 0, 1)</f>
        <v>82.82</v>
      </c>
      <c r="I39" s="5" cm="1" vm="67">
        <f t="array" aca="1" ref="I39" ca="1">_xlfn.STOCKHISTORY(B31, "2026-02-13", "2026-02-13", 0, 0, 1)</f>
        <v>75.97</v>
      </c>
      <c r="J39" s="5" cm="1" vm="68">
        <f t="array" aca="1" ref="J39" ca="1">_xlfn.STOCKHISTORY(B31, "2026-02-23", "2026-02-23", 0, 0, 1)</f>
        <v>71.78</v>
      </c>
      <c r="K39" s="5" cm="1" vm="69">
        <f t="array" aca="1" ref="K39" ca="1">_xlfn.STOCKHISTORY(B31, "2026-02-27", "2026-02-27", 0, 0, 1)</f>
        <v>75.849999999999994</v>
      </c>
      <c r="L39" s="5" cm="1" vm="70">
        <f t="array" aca="1" ref="L39" ca="1">_xlfn.STOCKHISTORY(B31, "2026-03-09", "2026-03-09", 0, 0, 3)</f>
        <v>79.650000000000006</v>
      </c>
      <c r="O39" s="5"/>
    </row>
    <row r="40" spans="1:15" x14ac:dyDescent="0.2">
      <c r="A40" t="s">
        <v>44</v>
      </c>
      <c r="C40" s="27" vm="71">
        <v>113.63</v>
      </c>
      <c r="H40" s="5" cm="1" vm="71">
        <f t="array" aca="1" ref="H40" ca="1">_xlfn.STOCKHISTORY(B32, "2026-02-06", "2026-02-06", 0, 0, 1)</f>
        <v>113.63</v>
      </c>
      <c r="I40" s="5" cm="1" vm="72">
        <f t="array" aca="1" ref="I40" ca="1">_xlfn.STOCKHISTORY(B32, "2026-02-13", "2026-02-13", 0, 0, 1)</f>
        <v>112.9</v>
      </c>
      <c r="J40" s="5" cm="1" vm="73">
        <f t="array" aca="1" ref="J40" ca="1">_xlfn.STOCKHISTORY(B32, "2026-02-23", "2026-02-23", 0, 0, 1)</f>
        <v>118.75</v>
      </c>
      <c r="K40" s="5" cm="1" vm="74">
        <f t="array" aca="1" ref="K40" ca="1">_xlfn.STOCKHISTORY(B32, "2026-02-27", "2026-02-27", 0, 0, 1)</f>
        <v>118.4</v>
      </c>
      <c r="L40" s="5" cm="1" vm="75">
        <f t="array" aca="1" ref="L40" ca="1">_xlfn.STOCKHISTORY(B32, "2026-03-09", "2026-03-09", 0, 0, 3)</f>
        <v>116.41</v>
      </c>
    </row>
    <row r="41" spans="1:15" x14ac:dyDescent="0.2">
      <c r="A41" t="s">
        <v>45</v>
      </c>
      <c r="C41" s="27" vm="76">
        <v>395.5</v>
      </c>
      <c r="E41" s="5"/>
      <c r="H41" s="5" cm="1" vm="76">
        <f t="array" aca="1" ref="H41" ca="1">_xlfn.STOCKHISTORY(B33, "2026-02-06", "2026-02-06", 0, 0, 1)</f>
        <v>395.5</v>
      </c>
      <c r="I41" s="5" cm="1" vm="77">
        <f t="array" aca="1" ref="I41" ca="1">_xlfn.STOCKHISTORY(B33, "2026-02-13", "2026-02-13", 0, 0, 1)</f>
        <v>429.64</v>
      </c>
      <c r="J41" s="5" cm="1" vm="78">
        <f t="array" aca="1" ref="J41" ca="1">_xlfn.STOCKHISTORY(B33, "2026-02-23", "2026-02-23", 0, 0, 1)</f>
        <v>350.33</v>
      </c>
      <c r="K41" s="5" cm="1" vm="79">
        <f t="array" aca="1" ref="K41" ca="1">_xlfn.STOCKHISTORY(B33, "2026-02-27", "2026-02-27", 0, 0, 1)</f>
        <v>371.98</v>
      </c>
      <c r="L41" s="5" cm="1" vm="80">
        <f t="array" aca="1" ref="L41" ca="1">_xlfn.STOCKHISTORY(B33, "2026-03-09", "2026-03-09", 0, 0, 3)</f>
        <v>438.28</v>
      </c>
    </row>
    <row r="42" spans="1:15" x14ac:dyDescent="0.2">
      <c r="A42" t="s">
        <v>46</v>
      </c>
      <c r="C42" s="27" vm="81">
        <v>165.12</v>
      </c>
      <c r="H42" s="5" cm="1" vm="81">
        <f t="array" aca="1" ref="H42" ca="1">_xlfn.STOCKHISTORY(B34, "2026-02-06", "2026-02-06", 0, 0, 1)</f>
        <v>165.12</v>
      </c>
      <c r="I42" s="5" cm="1" vm="82">
        <f t="array" aca="1" ref="I42" ca="1">_xlfn.STOCKHISTORY(B34, "2026-02-13", "2026-02-13", 0, 0, 1)</f>
        <v>164.32</v>
      </c>
      <c r="J42" s="5" cm="1" vm="83">
        <f t="array" aca="1" ref="J42" ca="1">_xlfn.STOCKHISTORY(B34, "2026-02-23", "2026-02-23", 0, 0, 1)</f>
        <v>160.24</v>
      </c>
      <c r="K42" s="5" cm="1" vm="84">
        <f t="array" aca="1" ref="K42" ca="1">_xlfn.STOCKHISTORY(B34, "2026-02-27", "2026-02-27", 0, 0, 1)</f>
        <v>175.85</v>
      </c>
      <c r="L42" s="5" cm="1" vm="85">
        <f t="array" aca="1" ref="L42" ca="1">_xlfn.STOCKHISTORY(B34, "2026-03-09", "2026-03-09", 0, 0, 3)</f>
        <v>203.49</v>
      </c>
    </row>
    <row r="44" spans="1:15" x14ac:dyDescent="0.2">
      <c r="A44" t="s">
        <v>64</v>
      </c>
      <c r="H44" s="28">
        <f ca="1">SUMPRODUCT(H38:H42,$H$30:$H$34)</f>
        <v>29977.280000000002</v>
      </c>
      <c r="I44" s="28">
        <f ca="1">SUMPRODUCT(I38:I42,$H$30:$H$34)</f>
        <v>29670.7</v>
      </c>
      <c r="J44" s="28">
        <f ca="1">SUMPRODUCT(J38:J42,$H$30:$H$34)</f>
        <v>29017.96</v>
      </c>
      <c r="K44" s="28">
        <f ca="1">SUMPRODUCT(K38:K42,$H$30:$H$34)</f>
        <v>29262.379999999997</v>
      </c>
      <c r="L44" s="28">
        <f ca="1">SUMPRODUCT(L38:L42,$H$30:$H$34)</f>
        <v>31188.82</v>
      </c>
    </row>
    <row r="45" spans="1:15" x14ac:dyDescent="0.2">
      <c r="A45" t="s">
        <v>65</v>
      </c>
      <c r="E45" s="5"/>
      <c r="H45" s="29"/>
      <c r="I45" s="29">
        <f ca="1">($C$35+H45)*$E$28</f>
        <v>13.984096000000001</v>
      </c>
      <c r="J45" s="29">
        <f ca="1">($C$35+I45)*$E$28</f>
        <v>13.993884867200002</v>
      </c>
      <c r="K45" s="29">
        <f ca="1">($C$35+J45)*$E$28</f>
        <v>13.99389171940704</v>
      </c>
      <c r="L45" s="29">
        <f ca="1">($C$35+K45)*$E$28</f>
        <v>13.993891724203587</v>
      </c>
      <c r="M45" s="5"/>
    </row>
    <row r="46" spans="1:15" x14ac:dyDescent="0.2">
      <c r="A46" t="s">
        <v>66</v>
      </c>
      <c r="H46" s="29">
        <f ca="1">H44-C35</f>
        <v>10000</v>
      </c>
      <c r="I46" s="29">
        <f ca="1">I44-$C$35-I45</f>
        <v>9679.4359039999981</v>
      </c>
      <c r="J46" s="29">
        <f t="shared" ref="J46:L46" ca="1" si="2">J44-$C$35-J45</f>
        <v>9026.6861151327957</v>
      </c>
      <c r="K46" s="29">
        <f t="shared" ca="1" si="2"/>
        <v>9271.1061082805882</v>
      </c>
      <c r="L46" s="29">
        <f t="shared" ca="1" si="2"/>
        <v>11197.546108275794</v>
      </c>
    </row>
    <row r="47" spans="1:15" x14ac:dyDescent="0.2">
      <c r="E47" s="5"/>
      <c r="I47" s="5"/>
      <c r="M47" s="5"/>
      <c r="O47" s="5"/>
    </row>
    <row r="48" spans="1:15" x14ac:dyDescent="0.2">
      <c r="A48" t="s">
        <v>30</v>
      </c>
      <c r="E48" s="5"/>
      <c r="I48" s="29">
        <f ca="1">I44-H44</f>
        <v>-306.58000000000175</v>
      </c>
      <c r="J48" s="29">
        <f ca="1">J44-I44</f>
        <v>-652.7400000000016</v>
      </c>
      <c r="K48" s="29">
        <f ca="1">K44-J44</f>
        <v>244.41999999999825</v>
      </c>
      <c r="L48" s="29">
        <f ca="1">L44-K44</f>
        <v>1926.4400000000023</v>
      </c>
    </row>
    <row r="49" spans="1:15" x14ac:dyDescent="0.2">
      <c r="A49" t="s">
        <v>31</v>
      </c>
      <c r="E49" s="5"/>
      <c r="I49" s="29">
        <f ca="1">I44-$H$44</f>
        <v>-306.58000000000175</v>
      </c>
      <c r="J49" s="29">
        <f ca="1">J44-$H$44</f>
        <v>-959.32000000000335</v>
      </c>
      <c r="K49" s="29">
        <f ca="1">K44-$H$44</f>
        <v>-714.90000000000509</v>
      </c>
      <c r="L49" s="29">
        <f ca="1">L44-$H$44</f>
        <v>1211.5399999999972</v>
      </c>
    </row>
    <row r="53" spans="1:15" x14ac:dyDescent="0.2">
      <c r="E53" s="5"/>
      <c r="I53" s="5"/>
      <c r="M53" s="5"/>
    </row>
    <row r="55" spans="1:15" x14ac:dyDescent="0.2">
      <c r="E55" s="5"/>
      <c r="I55" s="5"/>
      <c r="M55" s="5"/>
      <c r="O55" s="5"/>
    </row>
    <row r="56" spans="1:15" x14ac:dyDescent="0.2">
      <c r="E56" s="5"/>
    </row>
    <row r="57" spans="1:15" x14ac:dyDescent="0.2">
      <c r="E57" s="5"/>
    </row>
  </sheetData>
  <conditionalFormatting sqref="E26">
    <cfRule type="cellIs" dxfId="59" priority="19" operator="lessThan">
      <formula>0</formula>
    </cfRule>
    <cfRule type="cellIs" dxfId="58" priority="20" operator="greaterThan">
      <formula>0</formula>
    </cfRule>
  </conditionalFormatting>
  <conditionalFormatting sqref="E41">
    <cfRule type="cellIs" dxfId="57" priority="13" operator="lessThan">
      <formula>0</formula>
    </cfRule>
    <cfRule type="cellIs" dxfId="56" priority="14" operator="greaterThan">
      <formula>0</formula>
    </cfRule>
  </conditionalFormatting>
  <conditionalFormatting sqref="E48:E49">
    <cfRule type="cellIs" dxfId="55" priority="11" operator="lessThan">
      <formula>0</formula>
    </cfRule>
    <cfRule type="cellIs" dxfId="54" priority="12" operator="greaterThan">
      <formula>0</formula>
    </cfRule>
  </conditionalFormatting>
  <conditionalFormatting sqref="E56:E57">
    <cfRule type="cellIs" dxfId="53" priority="9" operator="lessThan">
      <formula>0</formula>
    </cfRule>
    <cfRule type="cellIs" dxfId="52" priority="10" operator="greaterThan">
      <formula>0</formula>
    </cfRule>
  </conditionalFormatting>
  <conditionalFormatting sqref="E21:L22">
    <cfRule type="cellIs" dxfId="51" priority="1" operator="lessThan">
      <formula>0</formula>
    </cfRule>
    <cfRule type="cellIs" dxfId="50" priority="2" operator="greaterThan">
      <formula>0</formula>
    </cfRule>
  </conditionalFormatting>
  <conditionalFormatting sqref="T13:U13">
    <cfRule type="cellIs" dxfId="49" priority="3" operator="lessThan">
      <formula>0</formula>
    </cfRule>
    <cfRule type="cellIs" dxfId="48" priority="4"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E831-EDA9-410E-9C21-C39101382149}">
  <dimension ref="A1:U48"/>
  <sheetViews>
    <sheetView topLeftCell="A17" workbookViewId="0">
      <selection activeCell="I45" sqref="I45"/>
    </sheetView>
  </sheetViews>
  <sheetFormatPr baseColWidth="10" defaultColWidth="8.83203125" defaultRowHeight="15" x14ac:dyDescent="0.2"/>
  <cols>
    <col min="3" max="3" width="10.83203125" customWidth="1"/>
    <col min="5" max="5" width="12" bestFit="1" customWidth="1"/>
    <col min="8" max="8" width="11.1640625" bestFit="1" customWidth="1"/>
    <col min="9" max="9" width="12.33203125" customWidth="1"/>
    <col min="10" max="10" width="11.33203125" customWidth="1"/>
    <col min="11" max="12" width="11.1640625" customWidth="1"/>
    <col min="13" max="13" width="9.5" bestFit="1" customWidth="1"/>
    <col min="14" max="14" width="12.1640625" customWidth="1"/>
    <col min="15" max="15" width="24.83203125" bestFit="1" customWidth="1"/>
  </cols>
  <sheetData>
    <row r="1" spans="1:21" x14ac:dyDescent="0.2">
      <c r="A1" t="s">
        <v>68</v>
      </c>
    </row>
    <row r="2" spans="1:21" x14ac:dyDescent="0.2">
      <c r="A2" t="s">
        <v>57</v>
      </c>
      <c r="C2" t="s">
        <v>58</v>
      </c>
      <c r="E2" s="1">
        <v>4.58E-2</v>
      </c>
      <c r="N2" s="8"/>
    </row>
    <row r="3" spans="1:21" x14ac:dyDescent="0.2">
      <c r="C3" t="s">
        <v>59</v>
      </c>
      <c r="E3">
        <f>E2/52</f>
        <v>8.8076923076923076E-4</v>
      </c>
      <c r="N3" s="8"/>
    </row>
    <row r="4" spans="1:21" x14ac:dyDescent="0.2">
      <c r="N4" s="8"/>
    </row>
    <row r="5" spans="1:21" x14ac:dyDescent="0.2">
      <c r="A5" t="s">
        <v>40</v>
      </c>
      <c r="B5" t="s">
        <v>69</v>
      </c>
      <c r="E5" t="s">
        <v>38</v>
      </c>
      <c r="F5">
        <v>40</v>
      </c>
      <c r="N5" s="8"/>
    </row>
    <row r="6" spans="1:21" x14ac:dyDescent="0.2">
      <c r="A6" t="s">
        <v>42</v>
      </c>
      <c r="B6" t="s">
        <v>70</v>
      </c>
      <c r="E6" t="s">
        <v>38</v>
      </c>
      <c r="F6">
        <v>50</v>
      </c>
      <c r="N6" s="8"/>
    </row>
    <row r="7" spans="1:21" x14ac:dyDescent="0.2">
      <c r="A7" t="s">
        <v>44</v>
      </c>
      <c r="B7" t="s">
        <v>71</v>
      </c>
      <c r="E7" t="s">
        <v>38</v>
      </c>
      <c r="F7">
        <v>40</v>
      </c>
      <c r="N7" s="8"/>
    </row>
    <row r="8" spans="1:21" x14ac:dyDescent="0.2">
      <c r="A8" t="s">
        <v>45</v>
      </c>
      <c r="N8" s="8"/>
    </row>
    <row r="9" spans="1:21" x14ac:dyDescent="0.2">
      <c r="A9" t="s">
        <v>46</v>
      </c>
      <c r="N9" s="8"/>
      <c r="R9" s="5"/>
      <c r="S9" s="5"/>
      <c r="T9" s="5"/>
      <c r="U9" s="5"/>
    </row>
    <row r="10" spans="1:21" x14ac:dyDescent="0.2">
      <c r="A10" t="s">
        <v>63</v>
      </c>
      <c r="C10" s="5">
        <f>I17-10000</f>
        <v>13963.2</v>
      </c>
      <c r="N10" s="8"/>
      <c r="R10" s="5"/>
      <c r="S10" s="5"/>
      <c r="T10" s="5"/>
      <c r="U10" s="5"/>
    </row>
    <row r="11" spans="1:21" x14ac:dyDescent="0.2">
      <c r="C11" s="5"/>
      <c r="N11" s="8"/>
      <c r="R11" s="5"/>
      <c r="S11" s="5"/>
      <c r="T11" s="5"/>
      <c r="U11" s="5"/>
    </row>
    <row r="12" spans="1:21" x14ac:dyDescent="0.2">
      <c r="D12" t="s">
        <v>7</v>
      </c>
      <c r="E12" t="s">
        <v>8</v>
      </c>
      <c r="F12" t="s">
        <v>9</v>
      </c>
      <c r="G12" t="s">
        <v>10</v>
      </c>
      <c r="H12" t="s">
        <v>11</v>
      </c>
      <c r="I12" t="s">
        <v>12</v>
      </c>
      <c r="J12" t="s">
        <v>13</v>
      </c>
      <c r="K12" t="s">
        <v>14</v>
      </c>
      <c r="L12" t="s">
        <v>15</v>
      </c>
      <c r="N12" s="8"/>
    </row>
    <row r="13" spans="1:21" x14ac:dyDescent="0.2">
      <c r="A13" t="s">
        <v>40</v>
      </c>
      <c r="H13" s="5"/>
      <c r="I13" s="5">
        <v>223.33</v>
      </c>
      <c r="J13" s="5">
        <v>211.4</v>
      </c>
      <c r="K13" s="5">
        <v>236.37</v>
      </c>
      <c r="L13" s="5">
        <v>232.38</v>
      </c>
      <c r="N13" s="8"/>
      <c r="R13" s="5"/>
    </row>
    <row r="14" spans="1:21" x14ac:dyDescent="0.2">
      <c r="A14" t="s">
        <v>42</v>
      </c>
      <c r="H14" s="5"/>
      <c r="I14" s="5">
        <v>164.36</v>
      </c>
      <c r="J14" s="5">
        <v>159.44</v>
      </c>
      <c r="K14" s="5">
        <v>157.41</v>
      </c>
      <c r="L14" s="5">
        <v>152.25</v>
      </c>
      <c r="N14" s="8"/>
      <c r="R14" s="5"/>
    </row>
    <row r="15" spans="1:21" x14ac:dyDescent="0.2">
      <c r="A15" t="s">
        <v>44</v>
      </c>
      <c r="H15" s="5"/>
      <c r="I15" s="5">
        <v>170.3</v>
      </c>
      <c r="J15" s="5">
        <v>171.68</v>
      </c>
      <c r="K15" s="5">
        <v>165.5</v>
      </c>
      <c r="L15" s="5">
        <v>165.5</v>
      </c>
      <c r="N15" s="8"/>
      <c r="R15" s="5"/>
    </row>
    <row r="16" spans="1:21" x14ac:dyDescent="0.2">
      <c r="N16" s="8"/>
    </row>
    <row r="17" spans="1:18" x14ac:dyDescent="0.2">
      <c r="A17" t="s">
        <v>64</v>
      </c>
      <c r="I17">
        <f>SUMPRODUCT($F5:$F7,I13:I15)</f>
        <v>23963.200000000001</v>
      </c>
      <c r="J17">
        <f>SUMPRODUCT($F5:$F7,J13:J15)</f>
        <v>23295.200000000001</v>
      </c>
      <c r="K17">
        <f>SUMPRODUCT($F5:$F7,K13:K15)</f>
        <v>23945.3</v>
      </c>
      <c r="L17">
        <f>SUMPRODUCT($F5:$F7,L13:L15)</f>
        <v>23527.7</v>
      </c>
      <c r="N17" s="8"/>
    </row>
    <row r="18" spans="1:18" x14ac:dyDescent="0.2">
      <c r="A18" t="s">
        <v>65</v>
      </c>
      <c r="H18" s="5"/>
      <c r="I18" s="5"/>
      <c r="J18" s="5">
        <f>($C10+SUM($H18:I18))*$E3</f>
        <v>12.298356923076923</v>
      </c>
      <c r="K18" s="5">
        <f>($C10+SUM($H18:J18))*$E3</f>
        <v>12.309188937443787</v>
      </c>
      <c r="L18" s="5">
        <f>($C10+SUM($H18:K18))*$E3</f>
        <v>12.320030492315613</v>
      </c>
      <c r="N18" s="8"/>
    </row>
    <row r="19" spans="1:18" x14ac:dyDescent="0.2">
      <c r="A19" t="s">
        <v>66</v>
      </c>
      <c r="E19" s="1"/>
      <c r="H19" s="5"/>
      <c r="I19" s="5">
        <f>I17-$C10-I18</f>
        <v>10000</v>
      </c>
      <c r="J19" s="5">
        <f>J17-$C10-SUM($H18:J18)</f>
        <v>9319.7016430769236</v>
      </c>
      <c r="K19" s="5">
        <f>K17-$C10-SUM($H18:K18)</f>
        <v>9957.4924541394776</v>
      </c>
      <c r="L19" s="5">
        <f>L17-$C10-SUM($H18:L18)</f>
        <v>9527.5724236471633</v>
      </c>
      <c r="N19" s="8"/>
    </row>
    <row r="20" spans="1:18" x14ac:dyDescent="0.2">
      <c r="N20" s="8"/>
    </row>
    <row r="21" spans="1:18" x14ac:dyDescent="0.2">
      <c r="A21" t="s">
        <v>30</v>
      </c>
      <c r="E21" s="5"/>
      <c r="F21" s="5"/>
      <c r="G21" s="5"/>
      <c r="I21" s="5"/>
      <c r="J21" s="5">
        <f>J17-I17-I18</f>
        <v>-668</v>
      </c>
      <c r="K21" s="5">
        <f>K17-J17-J18</f>
        <v>637.80164307692166</v>
      </c>
      <c r="L21" s="5">
        <f>L17-K17-K18</f>
        <v>-429.90918893744231</v>
      </c>
      <c r="N21" s="8"/>
    </row>
    <row r="22" spans="1:18" x14ac:dyDescent="0.2">
      <c r="A22" t="s">
        <v>31</v>
      </c>
      <c r="E22" s="5"/>
      <c r="F22" s="5"/>
      <c r="G22" s="5"/>
      <c r="I22" s="5"/>
      <c r="J22" s="5">
        <f>(J17-$I17)-J18</f>
        <v>-680.29835692307688</v>
      </c>
      <c r="K22" s="5">
        <f t="shared" ref="K22:L22" si="0">(K17-$I17)-K18</f>
        <v>-30.209188937445241</v>
      </c>
      <c r="L22" s="5">
        <f t="shared" si="0"/>
        <v>-447.8200304923156</v>
      </c>
      <c r="N22" s="8"/>
      <c r="Q22" s="5"/>
      <c r="R22" s="5"/>
    </row>
    <row r="23" spans="1:18" x14ac:dyDescent="0.2">
      <c r="E23" s="5"/>
      <c r="F23" s="5"/>
      <c r="G23" s="5"/>
      <c r="I23" s="5"/>
      <c r="J23" s="5"/>
      <c r="K23" s="5"/>
      <c r="L23" s="5"/>
      <c r="N23" s="8"/>
      <c r="Q23" s="5"/>
      <c r="R23" s="5"/>
    </row>
    <row r="24" spans="1:18" x14ac:dyDescent="0.2">
      <c r="A24" t="s">
        <v>72</v>
      </c>
      <c r="E24" s="5"/>
      <c r="N24" s="8"/>
    </row>
    <row r="25" spans="1:18" x14ac:dyDescent="0.2">
      <c r="A25" s="8"/>
      <c r="B25" s="8"/>
      <c r="C25" s="8"/>
      <c r="D25" s="8"/>
      <c r="E25" s="8"/>
      <c r="F25" s="8"/>
      <c r="G25" s="8"/>
      <c r="H25" s="8"/>
      <c r="I25" s="8"/>
      <c r="J25" s="8"/>
      <c r="K25" s="8"/>
      <c r="L25" s="8"/>
      <c r="M25" s="8"/>
      <c r="N25" s="8"/>
    </row>
    <row r="26" spans="1:18" x14ac:dyDescent="0.2">
      <c r="A26" s="11" t="s">
        <v>57</v>
      </c>
      <c r="B26" s="11"/>
      <c r="C26" s="11" t="s">
        <v>58</v>
      </c>
      <c r="D26" s="11"/>
      <c r="E26" s="13">
        <v>3.6400000000000002E-2</v>
      </c>
      <c r="F26" s="11"/>
      <c r="G26" s="31"/>
      <c r="H26" s="11"/>
      <c r="I26" s="13"/>
      <c r="J26" s="11"/>
      <c r="K26" s="11"/>
      <c r="L26" s="11"/>
      <c r="M26" s="11"/>
    </row>
    <row r="27" spans="1:18" x14ac:dyDescent="0.2">
      <c r="A27" s="11"/>
      <c r="B27" s="11"/>
      <c r="C27" s="11" t="s">
        <v>59</v>
      </c>
      <c r="D27" s="11"/>
      <c r="E27" s="11">
        <f>E26/52</f>
        <v>6.9999999999999999E-4</v>
      </c>
      <c r="F27" s="11"/>
      <c r="G27" s="11"/>
      <c r="H27" s="11"/>
      <c r="I27" s="11"/>
      <c r="J27" s="11"/>
      <c r="K27" s="11"/>
      <c r="L27" s="11"/>
      <c r="M27" s="11"/>
    </row>
    <row r="28" spans="1:18" x14ac:dyDescent="0.2">
      <c r="A28" s="11"/>
      <c r="B28" s="11"/>
      <c r="C28" s="11"/>
      <c r="D28" s="11"/>
      <c r="E28" s="11"/>
      <c r="F28" s="11"/>
      <c r="G28" s="11"/>
      <c r="H28" s="11"/>
      <c r="I28" s="11"/>
      <c r="J28" s="11"/>
      <c r="K28" s="11"/>
      <c r="L28" s="11"/>
      <c r="M28" s="35"/>
    </row>
    <row r="29" spans="1:18" x14ac:dyDescent="0.2">
      <c r="A29" s="11" t="s">
        <v>40</v>
      </c>
      <c r="B29" s="11" t="e" vm="86">
        <v>#VALUE!</v>
      </c>
      <c r="C29" s="11"/>
      <c r="D29" s="11"/>
      <c r="E29" s="11"/>
      <c r="F29" s="11" t="s">
        <v>102</v>
      </c>
      <c r="G29" s="11">
        <v>40</v>
      </c>
      <c r="H29" s="11"/>
      <c r="I29" s="11" t="s">
        <v>103</v>
      </c>
      <c r="J29" s="23">
        <f>G29*C37</f>
        <v>7084</v>
      </c>
      <c r="K29" s="11"/>
      <c r="L29" s="11" t="s">
        <v>122</v>
      </c>
      <c r="M29" s="36">
        <f>J29/$J$34</f>
        <v>0.23629038767767641</v>
      </c>
    </row>
    <row r="30" spans="1:18" x14ac:dyDescent="0.2">
      <c r="A30" s="11" t="s">
        <v>42</v>
      </c>
      <c r="B30" s="11" t="e" vm="87">
        <v>#VALUE!</v>
      </c>
      <c r="C30" s="11"/>
      <c r="D30" s="11"/>
      <c r="E30" s="11"/>
      <c r="F30" s="11" t="s">
        <v>102</v>
      </c>
      <c r="G30" s="11">
        <v>62</v>
      </c>
      <c r="H30" s="11"/>
      <c r="I30" s="11" t="s">
        <v>103</v>
      </c>
      <c r="J30" s="23">
        <f>G30*C38</f>
        <v>7977.5399999999991</v>
      </c>
      <c r="K30" s="11"/>
      <c r="L30" s="11" t="s">
        <v>122</v>
      </c>
      <c r="M30" s="36">
        <f t="shared" ref="M30:M34" si="1">J30/$J$34</f>
        <v>0.26609486438652885</v>
      </c>
    </row>
    <row r="31" spans="1:18" x14ac:dyDescent="0.2">
      <c r="A31" s="11" t="s">
        <v>44</v>
      </c>
      <c r="B31" s="11" t="e" vm="88">
        <v>#VALUE!</v>
      </c>
      <c r="C31" s="11"/>
      <c r="D31" s="11"/>
      <c r="E31" s="11"/>
      <c r="F31" s="11" t="s">
        <v>102</v>
      </c>
      <c r="G31" s="11">
        <v>208</v>
      </c>
      <c r="H31" s="11"/>
      <c r="I31" s="11" t="s">
        <v>103</v>
      </c>
      <c r="J31" s="23">
        <f>G31*C39</f>
        <v>6262.88</v>
      </c>
      <c r="K31" s="11"/>
      <c r="L31" s="11" t="s">
        <v>122</v>
      </c>
      <c r="M31" s="36">
        <f t="shared" si="1"/>
        <v>0.2089015165413278</v>
      </c>
    </row>
    <row r="32" spans="1:18" x14ac:dyDescent="0.2">
      <c r="A32" s="11" t="s">
        <v>45</v>
      </c>
      <c r="B32" s="11" t="e" vm="89">
        <v>#VALUE!</v>
      </c>
      <c r="C32" s="11"/>
      <c r="D32" s="11"/>
      <c r="E32" s="11"/>
      <c r="F32" s="11" t="s">
        <v>102</v>
      </c>
      <c r="G32" s="11">
        <v>27</v>
      </c>
      <c r="H32" s="11"/>
      <c r="I32" s="11" t="s">
        <v>103</v>
      </c>
      <c r="J32" s="23">
        <f>G32*C40</f>
        <v>4975.83</v>
      </c>
      <c r="K32" s="11"/>
      <c r="L32" s="11" t="s">
        <v>122</v>
      </c>
      <c r="M32" s="36">
        <f t="shared" si="1"/>
        <v>0.16597131560110287</v>
      </c>
    </row>
    <row r="33" spans="1:13" x14ac:dyDescent="0.2">
      <c r="A33" s="11" t="s">
        <v>46</v>
      </c>
      <c r="B33" s="11" t="e" vm="90">
        <v>#VALUE!</v>
      </c>
      <c r="C33" s="11"/>
      <c r="D33" s="11"/>
      <c r="E33" s="11"/>
      <c r="F33" s="11" t="s">
        <v>102</v>
      </c>
      <c r="G33" s="11">
        <v>29</v>
      </c>
      <c r="H33" s="11"/>
      <c r="I33" s="11" t="s">
        <v>103</v>
      </c>
      <c r="J33" s="23">
        <f>G33*C41</f>
        <v>3679.81</v>
      </c>
      <c r="K33" s="11"/>
      <c r="L33" s="11" t="s">
        <v>122</v>
      </c>
      <c r="M33" s="36">
        <f t="shared" si="1"/>
        <v>0.12274191579336398</v>
      </c>
    </row>
    <row r="34" spans="1:13" x14ac:dyDescent="0.2">
      <c r="A34" s="11" t="s">
        <v>63</v>
      </c>
      <c r="B34" s="11"/>
      <c r="C34" s="32">
        <f ca="1">I43-10000</f>
        <v>19980.060000000001</v>
      </c>
      <c r="D34" s="11"/>
      <c r="E34" s="11"/>
      <c r="F34" s="11"/>
      <c r="G34" s="11"/>
      <c r="H34" s="11"/>
      <c r="I34" s="11" t="s">
        <v>123</v>
      </c>
      <c r="J34" s="23">
        <f>SUM(J29:J33)</f>
        <v>29980.06</v>
      </c>
      <c r="K34" s="11"/>
      <c r="L34" s="11" t="s">
        <v>123</v>
      </c>
      <c r="M34" s="35">
        <f t="shared" si="1"/>
        <v>1</v>
      </c>
    </row>
    <row r="35" spans="1:13" x14ac:dyDescent="0.2">
      <c r="A35" s="11"/>
      <c r="B35" s="11"/>
      <c r="C35" s="16"/>
      <c r="D35" s="11"/>
      <c r="E35" s="11"/>
      <c r="F35" s="11"/>
      <c r="G35" s="11"/>
      <c r="H35" s="11"/>
      <c r="I35" s="11"/>
      <c r="J35" s="11"/>
      <c r="K35" s="11"/>
      <c r="L35" s="11"/>
      <c r="M35" s="11"/>
    </row>
    <row r="36" spans="1:13" x14ac:dyDescent="0.2">
      <c r="A36" s="11"/>
      <c r="B36" s="11"/>
      <c r="C36" s="11" t="s">
        <v>100</v>
      </c>
      <c r="D36" s="11" t="s">
        <v>7</v>
      </c>
      <c r="E36" s="11" t="s">
        <v>8</v>
      </c>
      <c r="F36" s="11" t="s">
        <v>9</v>
      </c>
      <c r="G36" s="11" t="s">
        <v>10</v>
      </c>
      <c r="H36" s="11" t="s">
        <v>11</v>
      </c>
      <c r="I36" s="11" t="s">
        <v>12</v>
      </c>
      <c r="J36" s="11" t="s">
        <v>13</v>
      </c>
      <c r="K36" s="11" t="s">
        <v>14</v>
      </c>
      <c r="L36" s="11" t="s">
        <v>15</v>
      </c>
      <c r="M36" s="11"/>
    </row>
    <row r="37" spans="1:13" x14ac:dyDescent="0.2">
      <c r="A37" s="11" t="s">
        <v>40</v>
      </c>
      <c r="B37" s="11"/>
      <c r="C37" s="23">
        <v>177.1</v>
      </c>
      <c r="D37" s="11"/>
      <c r="E37" s="11"/>
      <c r="F37" s="11"/>
      <c r="G37" s="11"/>
      <c r="H37" s="16"/>
      <c r="I37" s="16" cm="1" vm="91">
        <f t="array" aca="1" ref="I37" ca="1">_xlfn.STOCKHISTORY(B29, "2026-02-17", "2026-02-17", 0, 0, 1)</f>
        <v>177.1</v>
      </c>
      <c r="J37" s="16" cm="1" vm="92">
        <f t="array" aca="1" ref="J37" ca="1">_xlfn.STOCKHISTORY(B29, "2026-02-23", "2026-02-23", 0, 0, 1)</f>
        <v>157.6</v>
      </c>
      <c r="K37" s="16" cm="1" vm="93">
        <f t="array" aca="1" ref="K37" ca="1">_xlfn.STOCKHISTORY(B29, "2026-02-27", "2026-02-27", 0, 0, 1)</f>
        <v>168.41</v>
      </c>
      <c r="L37" s="16" cm="1" vm="94">
        <f t="array" aca="1" ref="L37" ca="1">_xlfn.STOCKHISTORY(B29, "2026-03-09", "2026-03-09", 0, 0, 3)</f>
        <v>183.10499999999999</v>
      </c>
      <c r="M37" s="11"/>
    </row>
    <row r="38" spans="1:13" x14ac:dyDescent="0.2">
      <c r="A38" s="11" t="s">
        <v>42</v>
      </c>
      <c r="B38" s="11"/>
      <c r="C38" s="23">
        <v>128.66999999999999</v>
      </c>
      <c r="D38" s="11"/>
      <c r="E38" s="11"/>
      <c r="F38" s="11"/>
      <c r="G38" s="11"/>
      <c r="H38" s="16"/>
      <c r="I38" s="16" cm="1" vm="95">
        <f t="array" aca="1" ref="I38" ca="1">_xlfn.STOCKHISTORY(B30, "2026-02-17", "2026-02-17", 0, 0, 1)</f>
        <v>128.66999999999999</v>
      </c>
      <c r="J38" s="16" cm="1" vm="96">
        <f t="array" aca="1" ref="J38" ca="1">_xlfn.STOCKHISTORY(B30, "2026-02-23", "2026-02-23", 0, 0, 1)</f>
        <v>123.71</v>
      </c>
      <c r="K38" s="16" cm="1" vm="97">
        <f t="array" aca="1" ref="K38" ca="1">_xlfn.STOCKHISTORY(B30, "2026-02-27", "2026-02-27", 0, 0, 1)</f>
        <v>129.5</v>
      </c>
      <c r="L38" s="16" cm="1" vm="98">
        <f t="array" aca="1" ref="L38" ca="1">_xlfn.STOCKHISTORY(B30, "2026-03-09", "2026-03-09", 0, 0, 3)</f>
        <v>140.19</v>
      </c>
      <c r="M38" s="11"/>
    </row>
    <row r="39" spans="1:13" x14ac:dyDescent="0.2">
      <c r="A39" s="11" t="s">
        <v>44</v>
      </c>
      <c r="B39" s="11"/>
      <c r="C39" s="23">
        <v>30.11</v>
      </c>
      <c r="D39" s="11"/>
      <c r="E39" s="11"/>
      <c r="F39" s="11"/>
      <c r="G39" s="11"/>
      <c r="H39" s="16"/>
      <c r="I39" s="16" cm="1" vm="99">
        <f t="array" aca="1" ref="I39" ca="1">_xlfn.STOCKHISTORY(B31, "2026-02-17", "2026-02-17", 0, 0, 1)</f>
        <v>30.11</v>
      </c>
      <c r="J39" s="16" cm="1" vm="100">
        <f t="array" aca="1" ref="J39" ca="1">_xlfn.STOCKHISTORY(B31, "2026-02-23", "2026-02-23", 0, 0, 1)</f>
        <v>30.71</v>
      </c>
      <c r="K39" s="16" cm="1" vm="101">
        <f t="array" aca="1" ref="K39" ca="1">_xlfn.STOCKHISTORY(B31, "2026-02-27", "2026-02-27", 0, 0, 1)</f>
        <v>32.39</v>
      </c>
      <c r="L39" s="16" cm="1" vm="102">
        <f t="array" aca="1" ref="L39" ca="1">_xlfn.STOCKHISTORY(B31, "2026-03-09", "2026-03-09", 0, 0, 3)</f>
        <v>32.159999999999997</v>
      </c>
      <c r="M39" s="11"/>
    </row>
    <row r="40" spans="1:13" x14ac:dyDescent="0.2">
      <c r="A40" s="11" t="s">
        <v>45</v>
      </c>
      <c r="B40" s="11"/>
      <c r="C40" s="23">
        <v>184.29</v>
      </c>
      <c r="D40" s="11"/>
      <c r="E40" s="16"/>
      <c r="F40" s="11"/>
      <c r="G40" s="11"/>
      <c r="H40" s="16"/>
      <c r="I40" s="16" cm="1" vm="103">
        <f t="array" aca="1" ref="I40" ca="1">_xlfn.STOCKHISTORY(B32, "2026-02-17", "2026-02-17", 0, 0, 1)</f>
        <v>184.29</v>
      </c>
      <c r="J40" s="16" cm="1" vm="104">
        <f t="array" aca="1" ref="J40" ca="1">_xlfn.STOCKHISTORY(B32, "2026-02-23", "2026-02-23", 0, 0, 1)</f>
        <v>178.16</v>
      </c>
      <c r="K40" s="16" cm="1" vm="105">
        <f t="array" aca="1" ref="K40" ca="1">_xlfn.STOCKHISTORY(B32, "2026-02-27", "2026-02-27", 0, 0, 1)</f>
        <v>194.79</v>
      </c>
      <c r="L40" s="16" cm="1" vm="106">
        <f t="array" aca="1" ref="L40" ca="1">_xlfn.STOCKHISTORY(B32, "2026-03-09", "2026-03-09", 0, 0, 3)</f>
        <v>203.67</v>
      </c>
      <c r="M40" s="11"/>
    </row>
    <row r="41" spans="1:13" x14ac:dyDescent="0.2">
      <c r="A41" s="11" t="s">
        <v>46</v>
      </c>
      <c r="B41" s="11"/>
      <c r="C41" s="23">
        <v>126.89</v>
      </c>
      <c r="D41" s="11"/>
      <c r="E41" s="11"/>
      <c r="F41" s="11"/>
      <c r="G41" s="11"/>
      <c r="H41" s="16"/>
      <c r="I41" s="16" cm="1" vm="107">
        <f t="array" aca="1" ref="I41" ca="1">_xlfn.STOCKHISTORY(B33, "2026-02-17", "2026-02-17", 0, 0, 1)</f>
        <v>126.89</v>
      </c>
      <c r="J41" s="16" cm="1" vm="108">
        <f t="array" aca="1" ref="J41" ca="1">_xlfn.STOCKHISTORY(B33, "2026-02-23", "2026-02-23", 0, 0, 1)</f>
        <v>123.78</v>
      </c>
      <c r="K41" s="16" cm="1" vm="109">
        <f t="array" aca="1" ref="K41" ca="1">_xlfn.STOCKHISTORY(B33, "2026-02-27", "2026-02-27", 0, 0, 1)</f>
        <v>127.45</v>
      </c>
      <c r="L41" s="16" cm="1" vm="110">
        <f t="array" aca="1" ref="L41" ca="1">_xlfn.STOCKHISTORY(B33, "2026-03-09", "2026-03-09", 0, 0, 3)</f>
        <v>118.14</v>
      </c>
      <c r="M41" s="11"/>
    </row>
    <row r="42" spans="1:13" x14ac:dyDescent="0.2">
      <c r="A42" s="11"/>
      <c r="B42" s="11"/>
      <c r="C42" s="11"/>
      <c r="D42" s="11"/>
      <c r="E42" s="11"/>
      <c r="F42" s="11"/>
      <c r="G42" s="11"/>
      <c r="H42" s="11"/>
      <c r="I42" s="11"/>
      <c r="J42" s="11"/>
      <c r="K42" s="11"/>
      <c r="L42" s="11"/>
      <c r="M42" s="11"/>
    </row>
    <row r="43" spans="1:13" x14ac:dyDescent="0.2">
      <c r="A43" s="11" t="s">
        <v>64</v>
      </c>
      <c r="B43" s="11"/>
      <c r="C43" s="11"/>
      <c r="D43" s="11"/>
      <c r="E43" s="11"/>
      <c r="F43" s="11"/>
      <c r="G43" s="11"/>
      <c r="H43" s="33"/>
      <c r="I43" s="33">
        <f ca="1">SUMPRODUCT(I37:I41,$G$29:$G$33)</f>
        <v>29980.06</v>
      </c>
      <c r="J43" s="33">
        <f ca="1">SUMPRODUCT(J37:J41,$G$29:$G$33)</f>
        <v>28761.64</v>
      </c>
      <c r="K43" s="33">
        <f ca="1">SUMPRODUCT(K37:K41,$G$29:$G$33)</f>
        <v>30457.899999999998</v>
      </c>
      <c r="L43" s="33">
        <f ca="1">SUMPRODUCT(L37:L41,$G$29:$G$33)</f>
        <v>31630.41</v>
      </c>
      <c r="M43" s="11"/>
    </row>
    <row r="44" spans="1:13" x14ac:dyDescent="0.2">
      <c r="A44" s="11" t="s">
        <v>65</v>
      </c>
      <c r="B44" s="11"/>
      <c r="C44" s="11"/>
      <c r="D44" s="11"/>
      <c r="E44" s="16"/>
      <c r="F44" s="11"/>
      <c r="G44" s="11"/>
      <c r="H44" s="32"/>
      <c r="I44" s="32">
        <f>($C$35+H44)*$E$28</f>
        <v>0</v>
      </c>
      <c r="J44" s="32">
        <f ca="1">($C$34+I44)*$E$27</f>
        <v>13.986042000000001</v>
      </c>
      <c r="K44" s="32">
        <f ca="1">($C$34+J44)*$E$27</f>
        <v>13.995832229400001</v>
      </c>
      <c r="L44" s="32">
        <f ca="1">($C$34+K44)*$E$27</f>
        <v>13.995839082560581</v>
      </c>
      <c r="M44" s="11"/>
    </row>
    <row r="45" spans="1:13" x14ac:dyDescent="0.2">
      <c r="A45" s="11" t="s">
        <v>66</v>
      </c>
      <c r="B45" s="11"/>
      <c r="C45" s="11"/>
      <c r="D45" s="11"/>
      <c r="E45" s="11"/>
      <c r="F45" s="11"/>
      <c r="G45" s="11"/>
      <c r="H45" s="32"/>
      <c r="I45" s="32">
        <f ca="1">I43-$C$34-SUM(F44:I44)</f>
        <v>10000</v>
      </c>
      <c r="J45" s="32">
        <f ca="1">J43-$C$34-SUM(G44:J44)</f>
        <v>8767.5939579999977</v>
      </c>
      <c r="K45" s="32">
        <f ca="1">K43-$C$34-SUM(H44:K44)</f>
        <v>10449.858125770597</v>
      </c>
      <c r="L45" s="32">
        <f ca="1">L43-$C$34-SUM(I44:L44)</f>
        <v>11608.372286688038</v>
      </c>
      <c r="M45" s="11"/>
    </row>
    <row r="46" spans="1:13" x14ac:dyDescent="0.2">
      <c r="A46" s="11"/>
      <c r="B46" s="11"/>
      <c r="C46" s="11"/>
      <c r="D46" s="11"/>
      <c r="E46" s="16"/>
      <c r="F46" s="11"/>
      <c r="G46" s="11"/>
      <c r="H46" s="11"/>
      <c r="I46" s="16"/>
      <c r="J46" s="11"/>
      <c r="K46" s="11"/>
      <c r="L46" s="11"/>
      <c r="M46" s="11"/>
    </row>
    <row r="47" spans="1:13" x14ac:dyDescent="0.2">
      <c r="A47" s="11" t="s">
        <v>30</v>
      </c>
      <c r="B47" s="11"/>
      <c r="C47" s="11"/>
      <c r="D47" s="11"/>
      <c r="E47" s="16"/>
      <c r="F47" s="11"/>
      <c r="G47" s="11"/>
      <c r="H47" s="11"/>
      <c r="I47" s="11"/>
      <c r="J47" s="32">
        <f ca="1">J43-I43</f>
        <v>-1218.4200000000019</v>
      </c>
      <c r="K47" s="32">
        <f ca="1">K43-J43</f>
        <v>1696.2599999999984</v>
      </c>
      <c r="L47" s="32">
        <f ca="1">L43-K43</f>
        <v>1172.510000000002</v>
      </c>
      <c r="M47" s="11"/>
    </row>
    <row r="48" spans="1:13" x14ac:dyDescent="0.2">
      <c r="A48" s="11" t="s">
        <v>31</v>
      </c>
      <c r="B48" s="11"/>
      <c r="C48" s="11"/>
      <c r="D48" s="11"/>
      <c r="E48" s="16"/>
      <c r="F48" s="11"/>
      <c r="G48" s="11"/>
      <c r="H48" s="11"/>
      <c r="I48" s="11"/>
      <c r="J48" s="32">
        <f ca="1">J43-$I$43</f>
        <v>-1218.4200000000019</v>
      </c>
      <c r="K48" s="32">
        <f ca="1">K43-$I$43</f>
        <v>477.83999999999651</v>
      </c>
      <c r="L48" s="32">
        <f ca="1">L43-$I$43</f>
        <v>1650.3499999999985</v>
      </c>
      <c r="M48" s="11"/>
    </row>
  </sheetData>
  <conditionalFormatting sqref="E40">
    <cfRule type="cellIs" dxfId="47" priority="3" operator="lessThan">
      <formula>0</formula>
    </cfRule>
    <cfRule type="cellIs" dxfId="46" priority="4" operator="greaterThan">
      <formula>0</formula>
    </cfRule>
  </conditionalFormatting>
  <conditionalFormatting sqref="E47:E48">
    <cfRule type="cellIs" dxfId="45" priority="1" operator="lessThan">
      <formula>0</formula>
    </cfRule>
    <cfRule type="cellIs" dxfId="44" priority="2" operator="greaterThan">
      <formula>0</formula>
    </cfRule>
  </conditionalFormatting>
  <conditionalFormatting sqref="E21:L23">
    <cfRule type="cellIs" dxfId="43" priority="13" operator="lessThan">
      <formula>0</formula>
    </cfRule>
    <cfRule type="cellIs" dxfId="42" priority="14"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655E-AF6B-49D6-B92F-82B7AACCF833}">
  <dimension ref="A1:X110"/>
  <sheetViews>
    <sheetView topLeftCell="A8" workbookViewId="0">
      <selection activeCell="J34" sqref="J34"/>
    </sheetView>
  </sheetViews>
  <sheetFormatPr baseColWidth="10" defaultColWidth="8.83203125" defaultRowHeight="15" x14ac:dyDescent="0.2"/>
  <cols>
    <col min="3" max="3" width="11.1640625" bestFit="1" customWidth="1"/>
    <col min="5" max="5" width="11.1640625" bestFit="1" customWidth="1"/>
    <col min="9" max="9" width="10.83203125" bestFit="1" customWidth="1"/>
    <col min="10" max="10" width="11" customWidth="1"/>
    <col min="11" max="11" width="14.1640625" customWidth="1"/>
    <col min="12" max="12" width="13" customWidth="1"/>
  </cols>
  <sheetData>
    <row r="1" spans="1:24" x14ac:dyDescent="0.2">
      <c r="A1" t="s">
        <v>73</v>
      </c>
      <c r="D1" t="s">
        <v>74</v>
      </c>
      <c r="P1" s="8"/>
    </row>
    <row r="2" spans="1:24" x14ac:dyDescent="0.2">
      <c r="A2" t="s">
        <v>75</v>
      </c>
      <c r="D2">
        <v>9</v>
      </c>
      <c r="P2" s="8"/>
    </row>
    <row r="3" spans="1:24" x14ac:dyDescent="0.2">
      <c r="A3" t="s">
        <v>5</v>
      </c>
      <c r="C3" s="4"/>
      <c r="P3" s="8"/>
    </row>
    <row r="4" spans="1:24" x14ac:dyDescent="0.2">
      <c r="C4" s="1"/>
      <c r="P4" s="8"/>
    </row>
    <row r="5" spans="1:24" x14ac:dyDescent="0.2">
      <c r="C5" s="2"/>
      <c r="P5" s="8"/>
    </row>
    <row r="6" spans="1:24" x14ac:dyDescent="0.2">
      <c r="C6" s="3"/>
      <c r="P6" s="8"/>
    </row>
    <row r="7" spans="1:24" x14ac:dyDescent="0.2">
      <c r="D7" t="s">
        <v>7</v>
      </c>
      <c r="E7" t="s">
        <v>8</v>
      </c>
      <c r="F7" t="s">
        <v>9</v>
      </c>
      <c r="G7" t="s">
        <v>10</v>
      </c>
      <c r="H7" t="s">
        <v>11</v>
      </c>
      <c r="I7" t="s">
        <v>12</v>
      </c>
      <c r="J7" t="s">
        <v>13</v>
      </c>
      <c r="K7" t="s">
        <v>14</v>
      </c>
      <c r="L7" t="s">
        <v>15</v>
      </c>
      <c r="P7" s="8"/>
    </row>
    <row r="8" spans="1:24" x14ac:dyDescent="0.2">
      <c r="A8" t="s">
        <v>8</v>
      </c>
      <c r="B8" t="s">
        <v>17</v>
      </c>
      <c r="D8" s="5"/>
      <c r="E8" s="5"/>
      <c r="F8" s="5"/>
      <c r="G8" s="5"/>
      <c r="H8" s="5"/>
      <c r="I8" s="5"/>
      <c r="J8" s="5">
        <v>925.1</v>
      </c>
      <c r="K8" s="5">
        <v>947.5</v>
      </c>
      <c r="L8" s="5">
        <v>964.9</v>
      </c>
      <c r="M8" s="5"/>
      <c r="N8" s="5"/>
      <c r="O8" s="5"/>
      <c r="P8" s="8"/>
      <c r="U8" s="5"/>
      <c r="V8" s="5"/>
      <c r="W8" s="5"/>
      <c r="X8" s="5"/>
    </row>
    <row r="9" spans="1:24" x14ac:dyDescent="0.2">
      <c r="P9" s="8"/>
    </row>
    <row r="10" spans="1:24" x14ac:dyDescent="0.2">
      <c r="B10" t="s">
        <v>20</v>
      </c>
      <c r="D10" s="5"/>
      <c r="E10" s="5"/>
      <c r="F10" s="5"/>
      <c r="G10" s="5"/>
      <c r="H10" s="5"/>
      <c r="I10" s="5"/>
      <c r="J10" s="5">
        <f>J8*$D2</f>
        <v>8325.9</v>
      </c>
      <c r="K10" s="5">
        <f>K8*$D2</f>
        <v>8527.5</v>
      </c>
      <c r="L10" s="5">
        <f>L8*$D2</f>
        <v>8684.1</v>
      </c>
      <c r="M10" s="5"/>
      <c r="P10" s="8"/>
    </row>
    <row r="11" spans="1:24" x14ac:dyDescent="0.2">
      <c r="B11" t="s">
        <v>39</v>
      </c>
      <c r="D11" s="5"/>
      <c r="E11" s="5"/>
      <c r="F11" s="5"/>
      <c r="G11" s="5"/>
      <c r="H11" s="5"/>
      <c r="I11" s="5">
        <v>10000</v>
      </c>
      <c r="J11" s="5">
        <f>I11-J10</f>
        <v>1674.1000000000004</v>
      </c>
      <c r="K11" s="5">
        <f t="shared" ref="K11:L11" si="0">J11</f>
        <v>1674.1000000000004</v>
      </c>
      <c r="L11" s="5">
        <f t="shared" si="0"/>
        <v>1674.1000000000004</v>
      </c>
      <c r="M11" s="5"/>
      <c r="P11" s="8"/>
    </row>
    <row r="12" spans="1:24" x14ac:dyDescent="0.2">
      <c r="P12" s="8"/>
    </row>
    <row r="13" spans="1:24" x14ac:dyDescent="0.2">
      <c r="P13" s="8"/>
    </row>
    <row r="14" spans="1:24" x14ac:dyDescent="0.2">
      <c r="P14" s="8"/>
    </row>
    <row r="15" spans="1:24" x14ac:dyDescent="0.2">
      <c r="P15" s="8"/>
    </row>
    <row r="16" spans="1:24" x14ac:dyDescent="0.2">
      <c r="P16" s="8"/>
    </row>
    <row r="17" spans="1:16" x14ac:dyDescent="0.2">
      <c r="P17" s="8"/>
    </row>
    <row r="18" spans="1:16" x14ac:dyDescent="0.2">
      <c r="A18" t="s">
        <v>30</v>
      </c>
      <c r="E18" s="5"/>
      <c r="F18" s="5"/>
      <c r="G18" s="5"/>
      <c r="H18" s="5"/>
      <c r="I18" s="5"/>
      <c r="J18" s="5"/>
      <c r="K18" s="5">
        <f t="shared" ref="K18:L18" si="1">K10-J10</f>
        <v>201.60000000000036</v>
      </c>
      <c r="L18" s="5">
        <f t="shared" si="1"/>
        <v>156.60000000000036</v>
      </c>
      <c r="M18" s="5"/>
      <c r="P18" s="8"/>
    </row>
    <row r="19" spans="1:16" x14ac:dyDescent="0.2">
      <c r="A19" t="s">
        <v>31</v>
      </c>
      <c r="E19" s="5"/>
      <c r="F19" s="5"/>
      <c r="G19" s="5"/>
      <c r="H19" s="5"/>
      <c r="I19" s="5"/>
      <c r="J19" s="5"/>
      <c r="K19" s="5">
        <f>K10-$J10</f>
        <v>201.60000000000036</v>
      </c>
      <c r="L19" s="5">
        <f>L10-$J10</f>
        <v>358.20000000000073</v>
      </c>
      <c r="M19" s="5"/>
      <c r="P19" s="8"/>
    </row>
    <row r="20" spans="1:16" x14ac:dyDescent="0.2">
      <c r="P20" s="8"/>
    </row>
    <row r="21" spans="1:16" x14ac:dyDescent="0.2">
      <c r="A21" s="8"/>
      <c r="B21" s="8"/>
      <c r="C21" s="8"/>
      <c r="D21" s="8"/>
      <c r="E21" s="8"/>
      <c r="F21" s="8"/>
      <c r="G21" s="8"/>
      <c r="H21" s="8"/>
      <c r="I21" s="8"/>
      <c r="J21" s="8"/>
      <c r="K21" s="8"/>
      <c r="L21" s="8"/>
      <c r="M21" s="8"/>
      <c r="N21" s="8"/>
      <c r="O21" s="8"/>
      <c r="P21" s="8"/>
    </row>
    <row r="22" spans="1:16" x14ac:dyDescent="0.2">
      <c r="A22" s="11" t="s">
        <v>76</v>
      </c>
      <c r="B22" s="11"/>
      <c r="C22" s="11"/>
      <c r="D22" s="11"/>
      <c r="E22" s="11"/>
      <c r="F22" s="11"/>
      <c r="G22" s="11"/>
      <c r="H22" s="11"/>
      <c r="I22" s="11"/>
      <c r="J22" s="11"/>
      <c r="K22" s="11"/>
      <c r="L22" s="11"/>
      <c r="M22" s="11"/>
      <c r="N22" s="11"/>
      <c r="O22" s="11"/>
    </row>
    <row r="23" spans="1:16" x14ac:dyDescent="0.2">
      <c r="A23" s="11"/>
      <c r="B23" s="11"/>
      <c r="C23" s="11"/>
      <c r="D23" s="11"/>
      <c r="E23" s="11"/>
      <c r="F23" s="11"/>
      <c r="G23" s="11"/>
      <c r="H23" s="11"/>
      <c r="I23" s="11"/>
      <c r="J23" s="11"/>
      <c r="K23" s="11"/>
      <c r="L23" s="11"/>
      <c r="M23" s="11"/>
      <c r="N23" s="11"/>
      <c r="O23" s="11"/>
    </row>
    <row r="24" spans="1:16" x14ac:dyDescent="0.2">
      <c r="A24" s="11" t="s">
        <v>116</v>
      </c>
      <c r="B24" s="11"/>
      <c r="C24" s="33">
        <v>10000</v>
      </c>
      <c r="D24" s="11"/>
      <c r="E24" s="11"/>
      <c r="F24" s="11"/>
      <c r="G24" s="11"/>
      <c r="H24" s="11"/>
      <c r="I24" s="11"/>
      <c r="J24" s="11"/>
      <c r="K24" s="11"/>
      <c r="L24" s="11"/>
      <c r="M24" s="11"/>
      <c r="N24" s="11"/>
      <c r="O24" s="11"/>
    </row>
    <row r="25" spans="1:16" x14ac:dyDescent="0.2">
      <c r="A25" s="11" t="s">
        <v>73</v>
      </c>
      <c r="B25" s="11"/>
      <c r="C25" s="11" t="e" vm="111">
        <v>#VALUE!</v>
      </c>
      <c r="D25" s="11"/>
      <c r="E25" s="11"/>
      <c r="F25" s="11"/>
      <c r="G25" s="11"/>
      <c r="H25" s="11"/>
      <c r="I25" s="11"/>
      <c r="J25" s="11"/>
      <c r="K25" s="11"/>
      <c r="L25" s="11"/>
      <c r="M25" s="11"/>
      <c r="N25" s="11"/>
      <c r="O25" s="11"/>
    </row>
    <row r="26" spans="1:16" x14ac:dyDescent="0.2">
      <c r="A26" s="11" t="s">
        <v>75</v>
      </c>
      <c r="B26" s="11"/>
      <c r="C26" s="11">
        <f>_xlfn.FLOOR.MATH(C24/J32)</f>
        <v>127</v>
      </c>
      <c r="D26" s="11"/>
      <c r="E26" s="11"/>
      <c r="F26" s="11"/>
      <c r="G26" s="11"/>
      <c r="H26" s="11"/>
      <c r="I26" s="11"/>
      <c r="J26" s="11"/>
      <c r="K26" s="11"/>
      <c r="L26" s="11"/>
      <c r="M26" s="11"/>
      <c r="N26" s="11"/>
      <c r="O26" s="11"/>
    </row>
    <row r="27" spans="1:16" x14ac:dyDescent="0.2">
      <c r="A27" s="11" t="s">
        <v>5</v>
      </c>
      <c r="B27" s="11"/>
      <c r="C27" s="34" t="s">
        <v>117</v>
      </c>
      <c r="D27" s="11"/>
      <c r="E27" s="11"/>
      <c r="F27" s="11"/>
      <c r="G27" s="11"/>
      <c r="H27" s="11"/>
      <c r="I27" s="11"/>
      <c r="J27" s="11"/>
      <c r="K27" s="11"/>
      <c r="L27" s="11"/>
      <c r="M27" s="11"/>
      <c r="N27" s="11"/>
      <c r="O27" s="11"/>
    </row>
    <row r="28" spans="1:16" x14ac:dyDescent="0.2">
      <c r="A28" s="11"/>
      <c r="B28" s="11"/>
      <c r="C28" s="13"/>
      <c r="D28" s="11"/>
      <c r="E28" s="11"/>
      <c r="F28" s="11"/>
      <c r="G28" s="11"/>
      <c r="H28" s="11"/>
      <c r="I28" s="11"/>
      <c r="J28" s="11"/>
      <c r="K28" s="11"/>
      <c r="L28" s="11"/>
      <c r="M28" s="11"/>
      <c r="N28" s="11"/>
      <c r="O28" s="11"/>
    </row>
    <row r="29" spans="1:16" x14ac:dyDescent="0.2">
      <c r="A29" s="11"/>
      <c r="B29" s="11"/>
      <c r="C29" s="14"/>
      <c r="D29" s="11"/>
      <c r="E29" s="11"/>
      <c r="F29" s="11"/>
      <c r="G29" s="11"/>
      <c r="H29" s="11"/>
      <c r="I29" s="11"/>
      <c r="J29" s="11"/>
      <c r="K29" s="11"/>
      <c r="L29" s="11"/>
      <c r="M29" s="11"/>
      <c r="N29" s="11"/>
      <c r="O29" s="11"/>
    </row>
    <row r="30" spans="1:16" x14ac:dyDescent="0.2">
      <c r="A30" s="11"/>
      <c r="B30" s="11"/>
      <c r="C30" s="15"/>
      <c r="D30" s="11"/>
      <c r="E30" s="11"/>
      <c r="F30" s="11"/>
      <c r="G30" s="11"/>
      <c r="H30" s="11"/>
      <c r="I30" s="11"/>
      <c r="J30" s="11"/>
      <c r="K30" s="11"/>
      <c r="L30" s="11"/>
      <c r="M30" s="11"/>
      <c r="N30" s="11"/>
      <c r="O30" s="11"/>
    </row>
    <row r="31" spans="1:16" x14ac:dyDescent="0.2">
      <c r="A31" s="11"/>
      <c r="B31" s="11"/>
      <c r="C31" s="11"/>
      <c r="D31" s="11" t="s">
        <v>7</v>
      </c>
      <c r="E31" s="11" t="s">
        <v>8</v>
      </c>
      <c r="F31" s="11" t="s">
        <v>9</v>
      </c>
      <c r="G31" s="11" t="s">
        <v>10</v>
      </c>
      <c r="H31" s="11" t="s">
        <v>11</v>
      </c>
      <c r="I31" s="11" t="s">
        <v>12</v>
      </c>
      <c r="J31" s="11" t="s">
        <v>13</v>
      </c>
      <c r="K31" s="11" t="s">
        <v>14</v>
      </c>
      <c r="L31" s="11" t="s">
        <v>15</v>
      </c>
      <c r="M31" s="11"/>
      <c r="N31" s="11"/>
      <c r="O31" s="11"/>
    </row>
    <row r="32" spans="1:16" x14ac:dyDescent="0.2">
      <c r="A32" s="11" t="s">
        <v>8</v>
      </c>
      <c r="B32" s="11" t="s">
        <v>17</v>
      </c>
      <c r="C32" s="23"/>
      <c r="D32" s="16"/>
      <c r="E32" s="16"/>
      <c r="F32" s="16"/>
      <c r="G32" s="16"/>
      <c r="H32" s="16"/>
      <c r="I32" s="16"/>
      <c r="J32" s="16">
        <v>78.39</v>
      </c>
      <c r="K32" s="16">
        <v>90.38</v>
      </c>
      <c r="L32" s="16" cm="1" vm="112">
        <f t="array" aca="1" ref="L32" ca="1">_xlfn.STOCKHISTORY(C25, "2026-03-09", "2026-03-09", 0, 0, 3)</f>
        <v>87.405000000000001</v>
      </c>
      <c r="M32" s="11"/>
      <c r="N32" s="11"/>
      <c r="O32" s="11"/>
    </row>
    <row r="33" spans="1:15" x14ac:dyDescent="0.2">
      <c r="A33" s="11"/>
      <c r="B33" s="11"/>
      <c r="C33" s="11"/>
      <c r="D33" s="11"/>
      <c r="E33" s="11"/>
      <c r="F33" s="11"/>
      <c r="G33" s="11"/>
      <c r="H33" s="11"/>
      <c r="I33" s="11"/>
      <c r="J33" s="11"/>
      <c r="K33" s="11"/>
      <c r="L33" s="11"/>
      <c r="M33" s="11"/>
      <c r="N33" s="11"/>
      <c r="O33" s="11"/>
    </row>
    <row r="34" spans="1:15" x14ac:dyDescent="0.2">
      <c r="A34" s="11"/>
      <c r="B34" s="11" t="s">
        <v>20</v>
      </c>
      <c r="C34" s="11"/>
      <c r="D34" s="16"/>
      <c r="E34" s="16"/>
      <c r="F34" s="16"/>
      <c r="G34" s="16"/>
      <c r="H34" s="16"/>
      <c r="I34" s="16"/>
      <c r="J34" s="16">
        <f>J32*$C$26</f>
        <v>9955.5300000000007</v>
      </c>
      <c r="K34" s="16">
        <f>K32*$C$26</f>
        <v>11478.26</v>
      </c>
      <c r="L34" s="16">
        <f ca="1">L32*$C$26</f>
        <v>11100.434999999999</v>
      </c>
      <c r="M34" s="11"/>
      <c r="N34" s="11"/>
      <c r="O34" s="11"/>
    </row>
    <row r="35" spans="1:15" x14ac:dyDescent="0.2">
      <c r="A35" s="11"/>
      <c r="B35" s="11" t="s">
        <v>39</v>
      </c>
      <c r="C35" s="11"/>
      <c r="D35" s="16"/>
      <c r="E35" s="16"/>
      <c r="F35" s="16"/>
      <c r="G35" s="16"/>
      <c r="H35" s="16"/>
      <c r="I35" s="16"/>
      <c r="J35" s="16">
        <f>$C$24-$J$32*$C$26</f>
        <v>44.469999999999345</v>
      </c>
      <c r="K35" s="16">
        <f t="shared" ref="K35:L35" si="2">$C$24-$J$32*$C$26</f>
        <v>44.469999999999345</v>
      </c>
      <c r="L35" s="16">
        <f t="shared" si="2"/>
        <v>44.469999999999345</v>
      </c>
      <c r="M35" s="11"/>
      <c r="N35" s="11"/>
      <c r="O35" s="11"/>
    </row>
    <row r="36" spans="1:15" x14ac:dyDescent="0.2">
      <c r="A36" s="11"/>
      <c r="B36" s="11"/>
      <c r="C36" s="11"/>
      <c r="D36" s="11"/>
      <c r="E36" s="11"/>
      <c r="F36" s="11"/>
      <c r="G36" s="11"/>
      <c r="H36" s="11"/>
      <c r="I36" s="11"/>
      <c r="J36" s="11"/>
      <c r="K36" s="11"/>
      <c r="L36" s="11"/>
      <c r="M36" s="11"/>
      <c r="N36" s="11"/>
      <c r="O36" s="11"/>
    </row>
    <row r="37" spans="1:15" x14ac:dyDescent="0.2">
      <c r="A37" s="11" t="s">
        <v>30</v>
      </c>
      <c r="B37" s="11"/>
      <c r="C37" s="11"/>
      <c r="D37" s="11"/>
      <c r="E37" s="16"/>
      <c r="F37" s="11"/>
      <c r="G37" s="11"/>
      <c r="H37" s="11"/>
      <c r="I37" s="11"/>
      <c r="J37" s="11"/>
      <c r="K37" s="16">
        <f>K34-J34</f>
        <v>1522.7299999999996</v>
      </c>
      <c r="L37" s="16">
        <f ca="1">L34-K34</f>
        <v>-377.82500000000073</v>
      </c>
      <c r="M37" s="11"/>
      <c r="N37" s="11"/>
      <c r="O37" s="11"/>
    </row>
    <row r="38" spans="1:15" x14ac:dyDescent="0.2">
      <c r="A38" s="11" t="s">
        <v>31</v>
      </c>
      <c r="B38" s="11"/>
      <c r="C38" s="11"/>
      <c r="D38" s="11"/>
      <c r="E38" s="16"/>
      <c r="F38" s="11"/>
      <c r="G38" s="11"/>
      <c r="H38" s="11"/>
      <c r="I38" s="11"/>
      <c r="J38" s="11"/>
      <c r="K38" s="16">
        <f>K34-$J$34</f>
        <v>1522.7299999999996</v>
      </c>
      <c r="L38" s="16">
        <f ca="1">L34-$J$34</f>
        <v>1144.9049999999988</v>
      </c>
      <c r="M38" s="11"/>
      <c r="N38" s="11"/>
      <c r="O38" s="11"/>
    </row>
    <row r="39" spans="1:15" x14ac:dyDescent="0.2">
      <c r="A39" s="11"/>
      <c r="B39" s="11"/>
      <c r="C39" s="11"/>
      <c r="D39" s="11"/>
      <c r="E39" s="11"/>
      <c r="F39" s="11"/>
      <c r="G39" s="11"/>
      <c r="H39" s="11"/>
      <c r="I39" s="11"/>
      <c r="J39" s="11"/>
      <c r="K39" s="11"/>
      <c r="L39" s="11"/>
      <c r="M39" s="11"/>
      <c r="N39" s="11"/>
      <c r="O39" s="11"/>
    </row>
    <row r="40" spans="1:15" x14ac:dyDescent="0.2">
      <c r="A40" s="11"/>
      <c r="B40" s="11"/>
      <c r="C40" s="11"/>
      <c r="D40" s="11"/>
      <c r="E40" s="11"/>
      <c r="F40" s="11"/>
      <c r="G40" s="11"/>
      <c r="H40" s="11"/>
      <c r="I40" s="11"/>
      <c r="J40" s="11"/>
      <c r="K40" s="11"/>
      <c r="L40" s="11"/>
      <c r="M40" s="11"/>
      <c r="N40" s="11"/>
      <c r="O40" s="11"/>
    </row>
    <row r="42" spans="1:15" x14ac:dyDescent="0.2">
      <c r="E42" s="5"/>
    </row>
    <row r="44" spans="1:15" x14ac:dyDescent="0.2">
      <c r="E44" s="5"/>
    </row>
    <row r="45" spans="1:15" x14ac:dyDescent="0.2">
      <c r="E45" s="5"/>
    </row>
    <row r="46" spans="1:15" x14ac:dyDescent="0.2">
      <c r="E46" s="5"/>
    </row>
    <row r="47" spans="1:15" x14ac:dyDescent="0.2">
      <c r="E47" s="5"/>
    </row>
    <row r="48" spans="1:15" x14ac:dyDescent="0.2">
      <c r="E48" s="5"/>
    </row>
    <row r="51" spans="5:5" x14ac:dyDescent="0.2">
      <c r="E51" s="5"/>
    </row>
    <row r="53" spans="5:5" x14ac:dyDescent="0.2">
      <c r="E53" s="5"/>
    </row>
    <row r="54" spans="5:5" x14ac:dyDescent="0.2">
      <c r="E54" s="5"/>
    </row>
    <row r="55" spans="5:5" x14ac:dyDescent="0.2">
      <c r="E55" s="5"/>
    </row>
    <row r="56" spans="5:5" x14ac:dyDescent="0.2">
      <c r="E56" s="5"/>
    </row>
    <row r="60" spans="5:5" x14ac:dyDescent="0.2">
      <c r="E60" s="5"/>
    </row>
    <row r="62" spans="5:5" x14ac:dyDescent="0.2">
      <c r="E62" s="5"/>
    </row>
    <row r="63" spans="5:5" x14ac:dyDescent="0.2">
      <c r="E63" s="5"/>
    </row>
    <row r="64" spans="5:5" x14ac:dyDescent="0.2">
      <c r="E64" s="5"/>
    </row>
    <row r="65" spans="5:5" x14ac:dyDescent="0.2">
      <c r="E65" s="5"/>
    </row>
    <row r="69" spans="5:5" x14ac:dyDescent="0.2">
      <c r="E69" s="5"/>
    </row>
    <row r="71" spans="5:5" x14ac:dyDescent="0.2">
      <c r="E71" s="5"/>
    </row>
    <row r="72" spans="5:5" x14ac:dyDescent="0.2">
      <c r="E72" s="5"/>
    </row>
    <row r="73" spans="5:5" x14ac:dyDescent="0.2">
      <c r="E73" s="5"/>
    </row>
    <row r="74" spans="5:5" x14ac:dyDescent="0.2">
      <c r="E74" s="5"/>
    </row>
    <row r="78" spans="5:5" x14ac:dyDescent="0.2">
      <c r="E78" s="5"/>
    </row>
    <row r="80" spans="5:5" x14ac:dyDescent="0.2">
      <c r="E80" s="5"/>
    </row>
    <row r="81" spans="5:5" x14ac:dyDescent="0.2">
      <c r="E81" s="5"/>
    </row>
    <row r="82" spans="5:5" x14ac:dyDescent="0.2">
      <c r="E82" s="5"/>
    </row>
    <row r="83" spans="5:5" x14ac:dyDescent="0.2">
      <c r="E83" s="5"/>
    </row>
    <row r="87" spans="5:5" x14ac:dyDescent="0.2">
      <c r="E87" s="5"/>
    </row>
    <row r="89" spans="5:5" x14ac:dyDescent="0.2">
      <c r="E89" s="5"/>
    </row>
    <row r="90" spans="5:5" x14ac:dyDescent="0.2">
      <c r="E90" s="5"/>
    </row>
    <row r="91" spans="5:5" x14ac:dyDescent="0.2">
      <c r="E91" s="5"/>
    </row>
    <row r="92" spans="5:5" x14ac:dyDescent="0.2">
      <c r="E92" s="5"/>
    </row>
    <row r="96" spans="5:5" x14ac:dyDescent="0.2">
      <c r="E96" s="5"/>
    </row>
    <row r="98" spans="5:5" x14ac:dyDescent="0.2">
      <c r="E98" s="5"/>
    </row>
    <row r="99" spans="5:5" x14ac:dyDescent="0.2">
      <c r="E99" s="5"/>
    </row>
    <row r="100" spans="5:5" x14ac:dyDescent="0.2">
      <c r="E100" s="5"/>
    </row>
    <row r="101" spans="5:5" x14ac:dyDescent="0.2">
      <c r="E101" s="5"/>
    </row>
    <row r="105" spans="5:5" x14ac:dyDescent="0.2">
      <c r="E105" s="5"/>
    </row>
    <row r="107" spans="5:5" x14ac:dyDescent="0.2">
      <c r="E107" s="5"/>
    </row>
    <row r="108" spans="5:5" x14ac:dyDescent="0.2">
      <c r="E108" s="5"/>
    </row>
    <row r="109" spans="5:5" x14ac:dyDescent="0.2">
      <c r="E109" s="5"/>
    </row>
    <row r="110" spans="5:5" x14ac:dyDescent="0.2">
      <c r="E110" s="5"/>
    </row>
  </sheetData>
  <conditionalFormatting sqref="E37:E38">
    <cfRule type="cellIs" dxfId="41" priority="27" operator="lessThan">
      <formula>0</formula>
    </cfRule>
    <cfRule type="cellIs" dxfId="40" priority="28" operator="greaterThan">
      <formula>0</formula>
    </cfRule>
  </conditionalFormatting>
  <conditionalFormatting sqref="E46:E48">
    <cfRule type="cellIs" dxfId="39" priority="25" operator="lessThan">
      <formula>0</formula>
    </cfRule>
    <cfRule type="cellIs" dxfId="38" priority="26" operator="greaterThan">
      <formula>0</formula>
    </cfRule>
  </conditionalFormatting>
  <conditionalFormatting sqref="E55:E56">
    <cfRule type="cellIs" dxfId="37" priority="21" operator="lessThan">
      <formula>0</formula>
    </cfRule>
    <cfRule type="cellIs" dxfId="36" priority="22" operator="greaterThan">
      <formula>0</formula>
    </cfRule>
  </conditionalFormatting>
  <conditionalFormatting sqref="E64:E65">
    <cfRule type="cellIs" dxfId="35" priority="19" operator="lessThan">
      <formula>0</formula>
    </cfRule>
    <cfRule type="cellIs" dxfId="34" priority="20" operator="greaterThan">
      <formula>0</formula>
    </cfRule>
  </conditionalFormatting>
  <conditionalFormatting sqref="E73:E74">
    <cfRule type="cellIs" dxfId="33" priority="17" operator="lessThan">
      <formula>0</formula>
    </cfRule>
    <cfRule type="cellIs" dxfId="32" priority="18" operator="greaterThan">
      <formula>0</formula>
    </cfRule>
  </conditionalFormatting>
  <conditionalFormatting sqref="E82:E83">
    <cfRule type="cellIs" dxfId="31" priority="15" operator="lessThan">
      <formula>0</formula>
    </cfRule>
    <cfRule type="cellIs" dxfId="30" priority="16" operator="greaterThan">
      <formula>0</formula>
    </cfRule>
  </conditionalFormatting>
  <conditionalFormatting sqref="E91:E92">
    <cfRule type="cellIs" dxfId="29" priority="13" operator="lessThan">
      <formula>0</formula>
    </cfRule>
    <cfRule type="cellIs" dxfId="28" priority="14" operator="greaterThan">
      <formula>0</formula>
    </cfRule>
  </conditionalFormatting>
  <conditionalFormatting sqref="E100:E101">
    <cfRule type="cellIs" dxfId="27" priority="11" operator="lessThan">
      <formula>0</formula>
    </cfRule>
    <cfRule type="cellIs" dxfId="26" priority="12" operator="greaterThan">
      <formula>0</formula>
    </cfRule>
  </conditionalFormatting>
  <conditionalFormatting sqref="E109:E110">
    <cfRule type="cellIs" dxfId="25" priority="9" operator="lessThan">
      <formula>0</formula>
    </cfRule>
    <cfRule type="cellIs" dxfId="24" priority="10" operator="greaterThan">
      <formula>0</formula>
    </cfRule>
  </conditionalFormatting>
  <conditionalFormatting sqref="E18:M19">
    <cfRule type="cellIs" dxfId="23" priority="5" operator="lessThan">
      <formula>0</formula>
    </cfRule>
    <cfRule type="cellIs" dxfId="22" priority="6" operator="greaterThan">
      <formula>0</formula>
    </cfRule>
  </conditionalFormatting>
  <conditionalFormatting sqref="N8:O8">
    <cfRule type="cellIs" dxfId="21" priority="3" operator="lessThan">
      <formula>0</formula>
    </cfRule>
    <cfRule type="cellIs" dxfId="20" priority="4" operator="greaterThan">
      <formula>0</formula>
    </cfRule>
  </conditionalFormatting>
  <conditionalFormatting sqref="W8:X8">
    <cfRule type="cellIs" dxfId="19" priority="1" operator="lessThan">
      <formula>0</formula>
    </cfRule>
    <cfRule type="cellIs" dxfId="18" priority="2" operator="greaterThan">
      <formula>0</formula>
    </cfRule>
  </conditionalFormatting>
  <hyperlinks>
    <hyperlink ref="C27" r:id="rId1" xr:uid="{920A166A-E696-B247-A316-244945F45E9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154D-B920-4BBA-9936-696B7FCAC33E}">
  <dimension ref="A1:X37"/>
  <sheetViews>
    <sheetView workbookViewId="0">
      <selection activeCell="K32" sqref="K32"/>
    </sheetView>
  </sheetViews>
  <sheetFormatPr baseColWidth="10" defaultColWidth="8.83203125" defaultRowHeight="15" x14ac:dyDescent="0.2"/>
  <cols>
    <col min="5" max="5" width="10.5" bestFit="1" customWidth="1"/>
    <col min="6" max="6" width="11.1640625" bestFit="1" customWidth="1"/>
    <col min="9" max="11" width="10.83203125" bestFit="1" customWidth="1"/>
    <col min="12" max="12" width="12.1640625" customWidth="1"/>
  </cols>
  <sheetData>
    <row r="1" spans="1:24" x14ac:dyDescent="0.2">
      <c r="A1" t="s">
        <v>15</v>
      </c>
      <c r="B1" t="s">
        <v>77</v>
      </c>
      <c r="D1" t="s">
        <v>78</v>
      </c>
    </row>
    <row r="2" spans="1:24" x14ac:dyDescent="0.2">
      <c r="A2" t="s">
        <v>79</v>
      </c>
      <c r="D2">
        <v>100</v>
      </c>
    </row>
    <row r="3" spans="1:24" x14ac:dyDescent="0.2">
      <c r="A3" t="s">
        <v>5</v>
      </c>
      <c r="C3" s="4"/>
      <c r="P3" s="8"/>
    </row>
    <row r="4" spans="1:24" x14ac:dyDescent="0.2">
      <c r="C4" s="1"/>
      <c r="P4" s="8"/>
    </row>
    <row r="5" spans="1:24" x14ac:dyDescent="0.2">
      <c r="C5" s="2"/>
      <c r="P5" s="8"/>
    </row>
    <row r="6" spans="1:24" x14ac:dyDescent="0.2">
      <c r="C6" s="3"/>
      <c r="P6" s="8"/>
    </row>
    <row r="7" spans="1:24" x14ac:dyDescent="0.2">
      <c r="D7" t="s">
        <v>7</v>
      </c>
      <c r="E7" t="s">
        <v>8</v>
      </c>
      <c r="F7" t="s">
        <v>9</v>
      </c>
      <c r="G7" t="s">
        <v>10</v>
      </c>
      <c r="H7" t="s">
        <v>11</v>
      </c>
      <c r="I7" t="s">
        <v>12</v>
      </c>
      <c r="J7" t="s">
        <v>13</v>
      </c>
      <c r="K7" t="s">
        <v>14</v>
      </c>
      <c r="L7" t="s">
        <v>15</v>
      </c>
      <c r="P7" s="8"/>
    </row>
    <row r="8" spans="1:24" x14ac:dyDescent="0.2">
      <c r="A8" t="s">
        <v>8</v>
      </c>
      <c r="B8" t="s">
        <v>17</v>
      </c>
      <c r="D8" s="5"/>
      <c r="E8" s="5"/>
      <c r="F8" s="5"/>
      <c r="G8" s="5"/>
      <c r="H8" s="5"/>
      <c r="I8" s="5"/>
      <c r="J8" s="5"/>
      <c r="K8" s="5">
        <v>98.14</v>
      </c>
      <c r="L8" s="5">
        <v>97.48</v>
      </c>
      <c r="M8" s="5"/>
      <c r="N8" s="5"/>
      <c r="O8" s="5"/>
      <c r="P8" s="8"/>
    </row>
    <row r="9" spans="1:24" x14ac:dyDescent="0.2">
      <c r="P9" s="8"/>
      <c r="U9" s="5"/>
      <c r="V9" s="5"/>
      <c r="W9" s="5"/>
      <c r="X9" s="5"/>
    </row>
    <row r="10" spans="1:24" x14ac:dyDescent="0.2">
      <c r="B10" t="s">
        <v>20</v>
      </c>
      <c r="D10" s="5"/>
      <c r="E10" s="5"/>
      <c r="F10" s="5"/>
      <c r="G10" s="5"/>
      <c r="H10" s="5"/>
      <c r="I10" s="5"/>
      <c r="J10" s="5"/>
      <c r="K10" s="5">
        <f>K8*$D2</f>
        <v>9814</v>
      </c>
      <c r="L10" s="5">
        <f>L8*$D2</f>
        <v>9748</v>
      </c>
      <c r="M10" s="5"/>
      <c r="P10" s="8"/>
    </row>
    <row r="11" spans="1:24" x14ac:dyDescent="0.2">
      <c r="B11" t="s">
        <v>39</v>
      </c>
      <c r="D11" s="5"/>
      <c r="E11" s="5"/>
      <c r="F11" s="5"/>
      <c r="G11" s="5"/>
      <c r="H11" s="5"/>
      <c r="I11" s="5"/>
      <c r="J11" s="5">
        <v>10000</v>
      </c>
      <c r="K11" s="5">
        <f>J11-K10</f>
        <v>186</v>
      </c>
      <c r="L11" s="5">
        <f t="shared" ref="L11" si="0">K11</f>
        <v>186</v>
      </c>
      <c r="M11" s="5"/>
      <c r="P11" s="8"/>
    </row>
    <row r="12" spans="1:24" x14ac:dyDescent="0.2">
      <c r="P12" s="8"/>
    </row>
    <row r="13" spans="1:24" x14ac:dyDescent="0.2">
      <c r="P13" s="8"/>
    </row>
    <row r="14" spans="1:24" x14ac:dyDescent="0.2">
      <c r="P14" s="8"/>
    </row>
    <row r="15" spans="1:24" x14ac:dyDescent="0.2">
      <c r="P15" s="8"/>
    </row>
    <row r="16" spans="1:24" x14ac:dyDescent="0.2">
      <c r="P16" s="8"/>
    </row>
    <row r="17" spans="1:16" x14ac:dyDescent="0.2">
      <c r="P17" s="8"/>
    </row>
    <row r="18" spans="1:16" x14ac:dyDescent="0.2">
      <c r="A18" t="s">
        <v>30</v>
      </c>
      <c r="E18" s="5"/>
      <c r="F18" s="5"/>
      <c r="G18" s="5"/>
      <c r="H18" s="5"/>
      <c r="I18" s="5"/>
      <c r="J18" s="5"/>
      <c r="K18" s="5">
        <f t="shared" ref="K18:L18" si="1">K10-J10</f>
        <v>9814</v>
      </c>
      <c r="L18" s="5">
        <f t="shared" si="1"/>
        <v>-66</v>
      </c>
      <c r="M18" s="5"/>
      <c r="P18" s="8"/>
    </row>
    <row r="19" spans="1:16" x14ac:dyDescent="0.2">
      <c r="A19" t="s">
        <v>31</v>
      </c>
      <c r="E19" s="5"/>
      <c r="F19" s="5"/>
      <c r="G19" s="5"/>
      <c r="H19" s="5"/>
      <c r="I19" s="5"/>
      <c r="J19" s="5"/>
      <c r="K19" s="5">
        <f>K10-$J10</f>
        <v>9814</v>
      </c>
      <c r="L19" s="5">
        <f>L10-$J10</f>
        <v>9748</v>
      </c>
      <c r="M19" s="5"/>
      <c r="P19" s="8"/>
    </row>
    <row r="20" spans="1:16" x14ac:dyDescent="0.2">
      <c r="P20" s="8"/>
    </row>
    <row r="21" spans="1:16" x14ac:dyDescent="0.2">
      <c r="A21" s="8"/>
      <c r="B21" s="8"/>
      <c r="C21" s="8"/>
      <c r="D21" s="8"/>
      <c r="E21" s="8"/>
      <c r="F21" s="8"/>
      <c r="G21" s="8"/>
      <c r="H21" s="8"/>
      <c r="I21" s="8"/>
      <c r="J21" s="8"/>
      <c r="K21" s="8"/>
      <c r="L21" s="8"/>
      <c r="M21" s="8"/>
      <c r="N21" s="8"/>
      <c r="O21" s="8"/>
      <c r="P21" s="8"/>
    </row>
    <row r="22" spans="1:16" x14ac:dyDescent="0.2">
      <c r="A22" s="11" t="s">
        <v>80</v>
      </c>
      <c r="B22" s="11"/>
      <c r="C22" s="11"/>
      <c r="D22" s="11"/>
      <c r="E22" s="11"/>
      <c r="F22" s="11"/>
      <c r="G22" s="11"/>
      <c r="H22" s="11"/>
      <c r="I22" s="11"/>
      <c r="J22" s="11"/>
      <c r="K22" s="11"/>
      <c r="L22" s="11"/>
    </row>
    <row r="23" spans="1:16" x14ac:dyDescent="0.2">
      <c r="A23" s="11" t="s">
        <v>15</v>
      </c>
      <c r="B23" s="11" t="s">
        <v>77</v>
      </c>
      <c r="C23" s="11"/>
      <c r="D23" s="11" t="e" vm="113">
        <v>#VALUE!</v>
      </c>
      <c r="E23" s="11"/>
      <c r="F23" s="11"/>
      <c r="G23" s="11"/>
      <c r="H23" s="11"/>
      <c r="I23" s="11"/>
      <c r="J23" s="11"/>
      <c r="K23" s="11"/>
      <c r="L23" s="11"/>
    </row>
    <row r="24" spans="1:16" x14ac:dyDescent="0.2">
      <c r="A24" s="11" t="s">
        <v>79</v>
      </c>
      <c r="B24" s="11"/>
      <c r="C24" s="11"/>
      <c r="D24" s="11">
        <f ca="1">_xlfn.FLOOR.MATH(F24/K30)</f>
        <v>179</v>
      </c>
      <c r="E24" s="11"/>
      <c r="F24" s="33">
        <v>10000</v>
      </c>
      <c r="G24" s="11"/>
      <c r="H24" s="11"/>
      <c r="I24" s="11"/>
      <c r="J24" s="11"/>
      <c r="K24" s="11"/>
      <c r="L24" s="11"/>
    </row>
    <row r="25" spans="1:16" x14ac:dyDescent="0.2">
      <c r="A25" s="11" t="s">
        <v>5</v>
      </c>
      <c r="B25" s="11"/>
      <c r="C25" s="12"/>
      <c r="D25" s="11"/>
      <c r="E25" s="11"/>
      <c r="F25" s="11"/>
      <c r="G25" s="11"/>
      <c r="H25" s="11"/>
      <c r="I25" s="11"/>
      <c r="J25" s="11"/>
      <c r="K25" s="11"/>
      <c r="L25" s="11"/>
    </row>
    <row r="26" spans="1:16" x14ac:dyDescent="0.2">
      <c r="A26" s="11"/>
      <c r="B26" s="11"/>
      <c r="C26" s="13"/>
      <c r="D26" s="11"/>
      <c r="E26" s="11"/>
      <c r="F26" s="11"/>
      <c r="G26" s="11"/>
      <c r="H26" s="11"/>
      <c r="I26" s="11"/>
      <c r="J26" s="11"/>
      <c r="K26" s="11"/>
      <c r="L26" s="11"/>
    </row>
    <row r="27" spans="1:16" x14ac:dyDescent="0.2">
      <c r="A27" s="11"/>
      <c r="B27" s="11"/>
      <c r="C27" s="14"/>
      <c r="D27" s="11"/>
      <c r="E27" s="11"/>
      <c r="F27" s="11"/>
      <c r="G27" s="11"/>
      <c r="H27" s="11"/>
      <c r="I27" s="11"/>
      <c r="J27" s="11"/>
      <c r="K27" s="11"/>
      <c r="L27" s="11"/>
    </row>
    <row r="28" spans="1:16" x14ac:dyDescent="0.2">
      <c r="A28" s="11"/>
      <c r="B28" s="11"/>
      <c r="C28" s="15"/>
      <c r="D28" s="11"/>
      <c r="E28" s="11"/>
      <c r="F28" s="11"/>
      <c r="G28" s="11"/>
      <c r="H28" s="11"/>
      <c r="I28" s="11"/>
      <c r="J28" s="11"/>
      <c r="K28" s="11"/>
      <c r="L28" s="11"/>
    </row>
    <row r="29" spans="1:16" x14ac:dyDescent="0.2">
      <c r="A29" s="11"/>
      <c r="B29" s="11"/>
      <c r="C29" s="11"/>
      <c r="D29" s="11" t="s">
        <v>7</v>
      </c>
      <c r="E29" s="11" t="s">
        <v>8</v>
      </c>
      <c r="F29" s="11" t="s">
        <v>9</v>
      </c>
      <c r="G29" s="11" t="s">
        <v>10</v>
      </c>
      <c r="H29" s="11" t="s">
        <v>11</v>
      </c>
      <c r="I29" s="11" t="s">
        <v>12</v>
      </c>
      <c r="J29" s="11" t="s">
        <v>13</v>
      </c>
      <c r="K29" s="11" t="s">
        <v>14</v>
      </c>
      <c r="L29" s="11" t="s">
        <v>15</v>
      </c>
    </row>
    <row r="30" spans="1:16" x14ac:dyDescent="0.2">
      <c r="A30" s="11" t="s">
        <v>8</v>
      </c>
      <c r="B30" s="11" t="s">
        <v>17</v>
      </c>
      <c r="C30" s="23"/>
      <c r="D30" s="16"/>
      <c r="E30" s="16"/>
      <c r="F30" s="16"/>
      <c r="G30" s="16"/>
      <c r="H30" s="16"/>
      <c r="I30" s="16"/>
      <c r="J30" s="16"/>
      <c r="K30" s="16" cm="1" vm="114">
        <f t="array" aca="1" ref="K30" ca="1">_xlfn.STOCKHISTORY($D$23, "2026-02-27", "2026-02-27", 0, 0, 1)</f>
        <v>55.67</v>
      </c>
      <c r="L30" s="16" cm="1" vm="115">
        <f t="array" aca="1" ref="L30" ca="1">_xlfn.STOCKHISTORY($D$23, "2026-03-09", "2026-03-09", 0, 0, 1)</f>
        <v>56.24</v>
      </c>
    </row>
    <row r="31" spans="1:16" x14ac:dyDescent="0.2">
      <c r="A31" s="11"/>
      <c r="B31" s="11"/>
      <c r="C31" s="11"/>
      <c r="D31" s="11"/>
      <c r="E31" s="11"/>
      <c r="F31" s="11"/>
      <c r="G31" s="11"/>
      <c r="H31" s="11"/>
      <c r="I31" s="11"/>
      <c r="J31" s="11"/>
      <c r="K31" s="11"/>
      <c r="L31" s="11"/>
    </row>
    <row r="32" spans="1:16" x14ac:dyDescent="0.2">
      <c r="A32" s="11"/>
      <c r="B32" s="11" t="s">
        <v>20</v>
      </c>
      <c r="C32" s="11"/>
      <c r="D32" s="16"/>
      <c r="E32" s="16"/>
      <c r="F32" s="16"/>
      <c r="G32" s="16"/>
      <c r="H32" s="16"/>
      <c r="I32" s="16"/>
      <c r="J32" s="16"/>
      <c r="K32" s="16">
        <f ca="1">K30*$D$24</f>
        <v>9964.93</v>
      </c>
      <c r="L32" s="16">
        <f ca="1">L30*$D$24</f>
        <v>10066.960000000001</v>
      </c>
    </row>
    <row r="33" spans="1:12" x14ac:dyDescent="0.2">
      <c r="A33" s="11"/>
      <c r="B33" s="11" t="s">
        <v>39</v>
      </c>
      <c r="C33" s="11"/>
      <c r="D33" s="16"/>
      <c r="E33" s="16"/>
      <c r="F33" s="16"/>
      <c r="G33" s="16"/>
      <c r="H33" s="16"/>
      <c r="I33" s="16"/>
      <c r="J33" s="16"/>
      <c r="K33" s="32">
        <f ca="1">$F$24-$K$32</f>
        <v>35.069999999999709</v>
      </c>
      <c r="L33" s="32">
        <f ca="1">$F$24-$K$32</f>
        <v>35.069999999999709</v>
      </c>
    </row>
    <row r="34" spans="1:12" x14ac:dyDescent="0.2">
      <c r="A34" s="11"/>
      <c r="B34" s="11"/>
      <c r="C34" s="11"/>
      <c r="D34" s="11"/>
      <c r="E34" s="11"/>
      <c r="F34" s="11"/>
      <c r="G34" s="11"/>
      <c r="H34" s="11"/>
      <c r="I34" s="11"/>
      <c r="J34" s="11"/>
      <c r="K34" s="11"/>
      <c r="L34" s="11"/>
    </row>
    <row r="35" spans="1:12" x14ac:dyDescent="0.2">
      <c r="A35" s="11" t="s">
        <v>30</v>
      </c>
      <c r="B35" s="11"/>
      <c r="C35" s="11"/>
      <c r="D35" s="11"/>
      <c r="E35" s="11"/>
      <c r="F35" s="11"/>
      <c r="G35" s="11"/>
      <c r="H35" s="11"/>
      <c r="I35" s="11"/>
      <c r="J35" s="11"/>
      <c r="K35" s="11"/>
      <c r="L35" s="16">
        <f ca="1">L32-K32</f>
        <v>102.03000000000065</v>
      </c>
    </row>
    <row r="36" spans="1:12" x14ac:dyDescent="0.2">
      <c r="A36" s="11" t="s">
        <v>31</v>
      </c>
      <c r="B36" s="11"/>
      <c r="C36" s="11"/>
      <c r="D36" s="11"/>
      <c r="E36" s="11"/>
      <c r="F36" s="11"/>
      <c r="G36" s="11"/>
      <c r="H36" s="11"/>
      <c r="I36" s="11"/>
      <c r="J36" s="11"/>
      <c r="K36" s="11"/>
      <c r="L36" s="16">
        <f ca="1">L35</f>
        <v>102.03000000000065</v>
      </c>
    </row>
    <row r="37" spans="1:12" x14ac:dyDescent="0.2">
      <c r="A37" s="11"/>
      <c r="B37" s="11"/>
      <c r="C37" s="11"/>
      <c r="D37" s="11"/>
      <c r="E37" s="11"/>
      <c r="F37" s="11"/>
      <c r="G37" s="11"/>
      <c r="H37" s="11"/>
      <c r="I37" s="11"/>
      <c r="J37" s="11"/>
      <c r="K37" s="11"/>
      <c r="L37" s="11"/>
    </row>
  </sheetData>
  <conditionalFormatting sqref="E18:M19">
    <cfRule type="cellIs" dxfId="17" priority="7" operator="lessThan">
      <formula>0</formula>
    </cfRule>
    <cfRule type="cellIs" dxfId="16" priority="8" operator="greaterThan">
      <formula>0</formula>
    </cfRule>
  </conditionalFormatting>
  <conditionalFormatting sqref="N8:O8">
    <cfRule type="cellIs" dxfId="15" priority="5" operator="lessThan">
      <formula>0</formula>
    </cfRule>
    <cfRule type="cellIs" dxfId="14" priority="6" operator="greaterThan">
      <formula>0</formula>
    </cfRule>
  </conditionalFormatting>
  <conditionalFormatting sqref="W9:X9">
    <cfRule type="cellIs" dxfId="13" priority="3" operator="lessThan">
      <formula>0</formula>
    </cfRule>
    <cfRule type="cellIs" dxfId="12" priority="4"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3786F-D65E-4BBF-BA6D-F842C5497651}">
  <dimension ref="A1:O53"/>
  <sheetViews>
    <sheetView tabSelected="1" zoomScale="90" workbookViewId="0">
      <selection activeCell="K36" sqref="K36"/>
    </sheetView>
  </sheetViews>
  <sheetFormatPr baseColWidth="10" defaultColWidth="8.83203125" defaultRowHeight="15" x14ac:dyDescent="0.2"/>
  <cols>
    <col min="1" max="1" width="25.6640625" customWidth="1"/>
    <col min="2" max="2" width="10.1640625" bestFit="1" customWidth="1"/>
    <col min="3" max="3" width="22.83203125" bestFit="1" customWidth="1"/>
    <col min="4" max="4" width="12.1640625" bestFit="1" customWidth="1"/>
    <col min="5" max="5" width="12" customWidth="1"/>
    <col min="6" max="6" width="11.6640625" customWidth="1"/>
    <col min="7" max="7" width="12.6640625" bestFit="1" customWidth="1"/>
    <col min="8" max="8" width="11" customWidth="1"/>
    <col min="9" max="9" width="12.5" customWidth="1"/>
    <col min="10" max="10" width="11.6640625" customWidth="1"/>
    <col min="11" max="11" width="11.5" customWidth="1"/>
    <col min="13" max="13" width="14.33203125" customWidth="1"/>
  </cols>
  <sheetData>
    <row r="1" spans="1:15" x14ac:dyDescent="0.2">
      <c r="B1" t="str">
        <f>Week1!A12</f>
        <v>Owned Market Value</v>
      </c>
      <c r="O1" s="8"/>
    </row>
    <row r="2" spans="1:15" x14ac:dyDescent="0.2">
      <c r="B2" t="s">
        <v>7</v>
      </c>
      <c r="C2" t="s">
        <v>8</v>
      </c>
      <c r="D2" t="s">
        <v>9</v>
      </c>
      <c r="E2" t="s">
        <v>10</v>
      </c>
      <c r="F2" t="s">
        <v>11</v>
      </c>
      <c r="G2" t="s">
        <v>12</v>
      </c>
      <c r="H2" t="s">
        <v>13</v>
      </c>
      <c r="I2" t="s">
        <v>14</v>
      </c>
      <c r="J2" t="s">
        <v>15</v>
      </c>
      <c r="O2" s="8"/>
    </row>
    <row r="3" spans="1:15" x14ac:dyDescent="0.2">
      <c r="A3" t="s">
        <v>7</v>
      </c>
      <c r="B3" s="5">
        <f>Week1!C12</f>
        <v>9042.1919999999991</v>
      </c>
      <c r="C3">
        <f>Week1!D12</f>
        <v>9212.3459999999995</v>
      </c>
      <c r="D3">
        <f>Week1!E12</f>
        <v>9240.4709999999995</v>
      </c>
      <c r="E3">
        <f>Week1!F12</f>
        <v>8969.0579999999991</v>
      </c>
      <c r="F3">
        <f>Week1!G12</f>
        <v>9032.3459999999995</v>
      </c>
      <c r="G3">
        <f>Week1!H12</f>
        <v>8841.0959999999995</v>
      </c>
      <c r="H3">
        <f>Week1!I12</f>
        <v>8755.3079999999991</v>
      </c>
      <c r="I3">
        <f>Week1!J12</f>
        <v>8983.125</v>
      </c>
      <c r="J3">
        <f>Week1!K12</f>
        <v>8873.4420000000009</v>
      </c>
      <c r="O3" s="8"/>
    </row>
    <row r="4" spans="1:15" x14ac:dyDescent="0.2">
      <c r="A4" t="s">
        <v>8</v>
      </c>
      <c r="C4" s="5">
        <f>Week2!E10</f>
        <v>9960</v>
      </c>
      <c r="D4" s="5">
        <f>Week2!F10</f>
        <v>9585</v>
      </c>
      <c r="E4" s="5">
        <f>Week2!G10</f>
        <v>9797.5</v>
      </c>
      <c r="F4" s="5">
        <f>Week2!H10</f>
        <v>9927.5</v>
      </c>
      <c r="G4" s="5">
        <f>Week2!I10</f>
        <v>9727.5</v>
      </c>
      <c r="H4" s="5">
        <f>Week2!J10</f>
        <v>9587.5</v>
      </c>
      <c r="I4" s="5">
        <f>Week2!K10</f>
        <v>9387.5</v>
      </c>
      <c r="J4" s="5">
        <f>Week2!L10</f>
        <v>9605</v>
      </c>
      <c r="O4" s="8"/>
    </row>
    <row r="5" spans="1:15" x14ac:dyDescent="0.2">
      <c r="A5" t="s">
        <v>9</v>
      </c>
      <c r="D5" s="5">
        <f>Week3!F12</f>
        <v>9475.5</v>
      </c>
      <c r="E5" s="5">
        <f>Week3!G12</f>
        <v>9663.6</v>
      </c>
      <c r="F5" s="5">
        <f>Week3!H12</f>
        <v>9961.7999999999993</v>
      </c>
      <c r="G5" s="5">
        <f>Week3!I12</f>
        <v>9733.5</v>
      </c>
      <c r="H5" s="5">
        <f>Week3!J12</f>
        <v>9859.7999999999993</v>
      </c>
      <c r="I5" s="5">
        <f>Week3!K12</f>
        <v>9790.2000000000007</v>
      </c>
      <c r="J5" s="5">
        <f>Week3!L12</f>
        <v>9710.7000000000007</v>
      </c>
      <c r="O5" s="8"/>
    </row>
    <row r="6" spans="1:15" x14ac:dyDescent="0.2">
      <c r="A6" t="s">
        <v>10</v>
      </c>
      <c r="C6" s="5"/>
      <c r="E6" s="5">
        <f>Week4!G8</f>
        <v>8390</v>
      </c>
      <c r="F6" s="5">
        <f>Week4!H8</f>
        <v>10160</v>
      </c>
      <c r="G6" s="5">
        <f>Week4!I8</f>
        <v>10255</v>
      </c>
      <c r="H6" s="5">
        <f>Week4!J8</f>
        <v>9120</v>
      </c>
      <c r="I6" s="5">
        <f>Week4!K8</f>
        <v>11070</v>
      </c>
      <c r="J6" s="5">
        <f>Week4!L8</f>
        <v>12805</v>
      </c>
      <c r="O6" s="8"/>
    </row>
    <row r="7" spans="1:15" x14ac:dyDescent="0.2">
      <c r="A7" t="s">
        <v>11</v>
      </c>
      <c r="C7" s="5"/>
      <c r="F7" s="5">
        <f>Week5!H19</f>
        <v>10000</v>
      </c>
      <c r="G7" s="5">
        <f>Week5!I19</f>
        <v>10818.035654038462</v>
      </c>
      <c r="H7" s="5">
        <f>Week5!J19</f>
        <v>10477.818300826058</v>
      </c>
      <c r="I7" s="5">
        <f>Week5!K19</f>
        <v>10335.197937714092</v>
      </c>
      <c r="J7" s="5">
        <f>Week5!L19</f>
        <v>10432.074562051541</v>
      </c>
      <c r="O7" s="8"/>
    </row>
    <row r="8" spans="1:15" x14ac:dyDescent="0.2">
      <c r="A8" t="s">
        <v>12</v>
      </c>
      <c r="D8" s="5"/>
      <c r="G8" s="5">
        <f>Week6!I19</f>
        <v>10000</v>
      </c>
      <c r="H8" s="5">
        <f>Week6!J19</f>
        <v>9319.7016430769236</v>
      </c>
      <c r="I8" s="5">
        <f>Week6!K19</f>
        <v>9957.4924541394776</v>
      </c>
      <c r="J8" s="5">
        <f>Week6!L19</f>
        <v>9527.5724236471633</v>
      </c>
      <c r="K8" s="1"/>
      <c r="O8" s="8"/>
    </row>
    <row r="9" spans="1:15" x14ac:dyDescent="0.2">
      <c r="A9" t="s">
        <v>13</v>
      </c>
      <c r="D9" s="5"/>
      <c r="G9" s="5"/>
      <c r="H9" s="5">
        <f>Week7!J10</f>
        <v>8325.9</v>
      </c>
      <c r="I9" s="5">
        <f>Week7!K10</f>
        <v>8527.5</v>
      </c>
      <c r="J9" s="5">
        <f>Week7!L10</f>
        <v>8684.1</v>
      </c>
      <c r="K9" s="1"/>
      <c r="O9" s="8"/>
    </row>
    <row r="10" spans="1:15" x14ac:dyDescent="0.2">
      <c r="A10" t="s">
        <v>14</v>
      </c>
      <c r="D10" s="5"/>
      <c r="G10" s="5"/>
      <c r="I10" s="5">
        <f>Week8!K10</f>
        <v>9814</v>
      </c>
      <c r="J10" s="5">
        <f>Week8!L10</f>
        <v>9748</v>
      </c>
      <c r="K10" s="1"/>
      <c r="O10" s="8"/>
    </row>
    <row r="11" spans="1:15" x14ac:dyDescent="0.2">
      <c r="A11" t="s">
        <v>81</v>
      </c>
      <c r="B11" s="9">
        <f>B3</f>
        <v>9042.1919999999991</v>
      </c>
      <c r="C11" s="9">
        <f>B11+C4</f>
        <v>19002.191999999999</v>
      </c>
      <c r="D11" s="9">
        <f>C11+D5</f>
        <v>28477.691999999999</v>
      </c>
      <c r="E11" s="9">
        <f>D11+E6</f>
        <v>36867.691999999995</v>
      </c>
      <c r="F11" s="9">
        <f>E11+F7</f>
        <v>46867.691999999995</v>
      </c>
      <c r="G11" s="9">
        <f>F11+G8</f>
        <v>56867.691999999995</v>
      </c>
      <c r="H11" s="9">
        <f>G11+H9</f>
        <v>65193.591999999997</v>
      </c>
      <c r="I11" s="9">
        <f>H11+I10</f>
        <v>75007.592000000004</v>
      </c>
      <c r="J11" s="9">
        <f>I11</f>
        <v>75007.592000000004</v>
      </c>
      <c r="K11" s="1"/>
      <c r="O11" s="8"/>
    </row>
    <row r="12" spans="1:15" x14ac:dyDescent="0.2">
      <c r="B12" s="9"/>
      <c r="C12" s="9"/>
      <c r="D12" s="9"/>
      <c r="E12" s="9"/>
      <c r="F12" s="9"/>
      <c r="G12" s="9"/>
      <c r="H12" s="9"/>
      <c r="I12" s="9"/>
      <c r="J12" s="9"/>
      <c r="K12" s="1"/>
      <c r="O12" s="8"/>
    </row>
    <row r="13" spans="1:15" x14ac:dyDescent="0.2">
      <c r="A13" t="s">
        <v>64</v>
      </c>
      <c r="B13" s="9">
        <f>SUM(B3:B10)</f>
        <v>9042.1919999999991</v>
      </c>
      <c r="C13" s="9">
        <f t="shared" ref="C13:J13" si="0">SUM(C3:C10)</f>
        <v>19172.345999999998</v>
      </c>
      <c r="D13" s="9">
        <f t="shared" si="0"/>
        <v>28300.970999999998</v>
      </c>
      <c r="E13" s="9">
        <f t="shared" si="0"/>
        <v>36820.157999999996</v>
      </c>
      <c r="F13" s="9">
        <f t="shared" si="0"/>
        <v>49081.645999999993</v>
      </c>
      <c r="G13" s="9">
        <f t="shared" si="0"/>
        <v>59375.131654038458</v>
      </c>
      <c r="H13" s="9">
        <f t="shared" si="0"/>
        <v>65446.027943902976</v>
      </c>
      <c r="I13" s="9">
        <f t="shared" si="0"/>
        <v>77865.01539185358</v>
      </c>
      <c r="J13" s="9">
        <f t="shared" si="0"/>
        <v>79385.888985698708</v>
      </c>
      <c r="K13" s="1"/>
      <c r="O13" s="8"/>
    </row>
    <row r="14" spans="1:15" x14ac:dyDescent="0.2">
      <c r="B14" s="9"/>
      <c r="C14" s="9"/>
      <c r="D14" s="9"/>
      <c r="E14" s="9"/>
      <c r="F14" s="9"/>
      <c r="G14" s="9"/>
      <c r="H14" s="9"/>
      <c r="I14" s="9"/>
      <c r="J14" s="9"/>
      <c r="K14" s="1"/>
      <c r="O14" s="8"/>
    </row>
    <row r="15" spans="1:15" x14ac:dyDescent="0.2">
      <c r="A15" t="s">
        <v>82</v>
      </c>
      <c r="B15" s="9"/>
      <c r="C15" s="10">
        <f>C13-C11</f>
        <v>170.15399999999863</v>
      </c>
      <c r="D15" s="9">
        <f>D16-C15</f>
        <v>-346.875</v>
      </c>
      <c r="E15" s="9">
        <f>E16-D15</f>
        <v>299.34100000000035</v>
      </c>
      <c r="F15" s="9">
        <f t="shared" ref="D15:J15" si="1">F16-E15</f>
        <v>1914.6129999999976</v>
      </c>
      <c r="G15" s="9">
        <f t="shared" si="1"/>
        <v>592.82665403846477</v>
      </c>
      <c r="H15" s="9">
        <f t="shared" si="1"/>
        <v>-340.39071013548528</v>
      </c>
      <c r="I15" s="9">
        <f t="shared" si="1"/>
        <v>3197.8141019890609</v>
      </c>
      <c r="J15" s="9">
        <f t="shared" si="1"/>
        <v>1180.4828837096429</v>
      </c>
      <c r="K15" s="1"/>
      <c r="M15" s="7"/>
      <c r="O15" s="8"/>
    </row>
    <row r="16" spans="1:15" x14ac:dyDescent="0.2">
      <c r="A16" t="s">
        <v>83</v>
      </c>
      <c r="B16" s="10"/>
      <c r="C16" s="10">
        <f>C13-C11</f>
        <v>170.15399999999863</v>
      </c>
      <c r="D16" s="10">
        <f>D13-D11</f>
        <v>-176.72100000000137</v>
      </c>
      <c r="E16" s="10">
        <f>E13-E11</f>
        <v>-47.533999999999651</v>
      </c>
      <c r="F16" s="9">
        <f>F13-F11</f>
        <v>2213.9539999999979</v>
      </c>
      <c r="G16" s="9">
        <f t="shared" ref="G16:J16" si="2">G13-G11</f>
        <v>2507.4396540384623</v>
      </c>
      <c r="H16" s="9">
        <f t="shared" si="2"/>
        <v>252.43594390297949</v>
      </c>
      <c r="I16" s="9">
        <f t="shared" si="2"/>
        <v>2857.4233918535756</v>
      </c>
      <c r="J16" s="9">
        <f t="shared" si="2"/>
        <v>4378.2969856987038</v>
      </c>
      <c r="M16" s="7"/>
      <c r="O16" s="8"/>
    </row>
    <row r="17" spans="1:15" x14ac:dyDescent="0.2">
      <c r="D17" s="5"/>
      <c r="O17" s="8"/>
    </row>
    <row r="18" spans="1:15" x14ac:dyDescent="0.2">
      <c r="A18" t="s">
        <v>84</v>
      </c>
      <c r="C18" s="1">
        <f>C15/C11</f>
        <v>8.9544406245341927E-3</v>
      </c>
      <c r="D18" s="1">
        <f>D15/D11</f>
        <v>-1.2180586825645844E-2</v>
      </c>
      <c r="E18" s="1">
        <f t="shared" ref="D18:J18" si="3">E15/E11</f>
        <v>8.11933114771601E-3</v>
      </c>
      <c r="F18" s="1">
        <f t="shared" si="3"/>
        <v>4.0851446237207448E-2</v>
      </c>
      <c r="G18" s="1">
        <f t="shared" si="3"/>
        <v>1.0424665274589741E-2</v>
      </c>
      <c r="H18" s="1">
        <f t="shared" si="3"/>
        <v>-5.2212295670943437E-3</v>
      </c>
      <c r="I18" s="1">
        <f t="shared" si="3"/>
        <v>4.263320574254751E-2</v>
      </c>
      <c r="J18" s="1">
        <f t="shared" si="3"/>
        <v>1.5738178659430141E-2</v>
      </c>
      <c r="L18" t="s">
        <v>85</v>
      </c>
      <c r="M18" s="18">
        <f>VAR(C18:J18)</f>
        <v>3.8152649715315467E-4</v>
      </c>
      <c r="O18" s="8"/>
    </row>
    <row r="19" spans="1:15" x14ac:dyDescent="0.2">
      <c r="A19" t="s">
        <v>86</v>
      </c>
      <c r="C19" s="6">
        <f>AVERAGE(B13:J13)</f>
        <v>47165.486330610409</v>
      </c>
      <c r="D19" s="6">
        <f>C19</f>
        <v>47165.486330610409</v>
      </c>
      <c r="E19" s="6">
        <f t="shared" ref="E19:J19" si="4">D19</f>
        <v>47165.486330610409</v>
      </c>
      <c r="F19" s="6">
        <f t="shared" si="4"/>
        <v>47165.486330610409</v>
      </c>
      <c r="G19" s="6">
        <f t="shared" si="4"/>
        <v>47165.486330610409</v>
      </c>
      <c r="H19" s="6">
        <f t="shared" si="4"/>
        <v>47165.486330610409</v>
      </c>
      <c r="I19" s="6">
        <f t="shared" si="4"/>
        <v>47165.486330610409</v>
      </c>
      <c r="J19" s="6">
        <f t="shared" si="4"/>
        <v>47165.486330610409</v>
      </c>
      <c r="O19" s="8"/>
    </row>
    <row r="20" spans="1:15" x14ac:dyDescent="0.2">
      <c r="A20" t="s">
        <v>87</v>
      </c>
      <c r="C20" s="10">
        <f>C18*C19</f>
        <v>422.34054687473002</v>
      </c>
      <c r="D20" s="10">
        <f>D18*D19</f>
        <v>-574.50330142381222</v>
      </c>
      <c r="E20" s="10">
        <f t="shared" ref="D20:E20" si="5">E18*E19</f>
        <v>382.95220226129879</v>
      </c>
      <c r="F20" s="10">
        <f t="shared" ref="F20" si="6">F18*F19</f>
        <v>1926.7783290866739</v>
      </c>
      <c r="G20" s="10">
        <f t="shared" ref="G20" si="7">G18*G19</f>
        <v>491.68440750985144</v>
      </c>
      <c r="H20" s="10">
        <f t="shared" ref="H20" si="8">H18*H19</f>
        <v>-246.26183177576718</v>
      </c>
      <c r="I20" s="10">
        <f t="shared" ref="I20" si="9">I18*I19</f>
        <v>2010.8158826802257</v>
      </c>
      <c r="J20" s="10">
        <f t="shared" ref="J20" si="10">J18*J19</f>
        <v>742.29885043005675</v>
      </c>
      <c r="O20" s="8"/>
    </row>
    <row r="21" spans="1:15" x14ac:dyDescent="0.2">
      <c r="A21" t="s">
        <v>88</v>
      </c>
      <c r="C21" s="17">
        <f>(1.035)^(1/52)-1</f>
        <v>6.6178478139500285E-4</v>
      </c>
      <c r="D21" s="17">
        <f>(1.035)^(1/52)-1</f>
        <v>6.6178478139500285E-4</v>
      </c>
      <c r="E21" s="17">
        <f t="shared" ref="D21:J21" si="11">(1.035)^(1/52)-1</f>
        <v>6.6178478139500285E-4</v>
      </c>
      <c r="F21" s="17">
        <f t="shared" si="11"/>
        <v>6.6178478139500285E-4</v>
      </c>
      <c r="G21" s="17">
        <f t="shared" si="11"/>
        <v>6.6178478139500285E-4</v>
      </c>
      <c r="H21" s="17">
        <f t="shared" si="11"/>
        <v>6.6178478139500285E-4</v>
      </c>
      <c r="I21" s="17">
        <f t="shared" si="11"/>
        <v>6.6178478139500285E-4</v>
      </c>
      <c r="J21" s="17">
        <f t="shared" si="11"/>
        <v>6.6178478139500285E-4</v>
      </c>
      <c r="O21" s="8"/>
    </row>
    <row r="22" spans="1:15" x14ac:dyDescent="0.2">
      <c r="A22" t="s">
        <v>89</v>
      </c>
      <c r="C22" s="1">
        <f>C18-C21</f>
        <v>8.2926558431391899E-3</v>
      </c>
      <c r="D22" s="1">
        <f>D18-D21</f>
        <v>-1.2842371607040846E-2</v>
      </c>
      <c r="E22" s="1">
        <f t="shared" ref="D22:J22" si="12">E18-E21</f>
        <v>7.4575463663210072E-3</v>
      </c>
      <c r="F22" s="1">
        <f t="shared" si="12"/>
        <v>4.0189661455812445E-2</v>
      </c>
      <c r="G22" s="1">
        <f t="shared" si="12"/>
        <v>9.7628804931947383E-3</v>
      </c>
      <c r="H22" s="1">
        <f t="shared" si="12"/>
        <v>-5.8830143484893465E-3</v>
      </c>
      <c r="I22" s="1">
        <f t="shared" si="12"/>
        <v>4.1971420961152507E-2</v>
      </c>
      <c r="J22" s="1">
        <f t="shared" si="12"/>
        <v>1.5076393878035138E-2</v>
      </c>
      <c r="L22" t="s">
        <v>90</v>
      </c>
      <c r="M22" s="1">
        <f>AVERAGE(C22:J22)</f>
        <v>1.3003146630265604E-2</v>
      </c>
      <c r="O22" s="8"/>
    </row>
    <row r="23" spans="1:15" x14ac:dyDescent="0.2">
      <c r="A23" t="s">
        <v>91</v>
      </c>
      <c r="C23" s="10">
        <f>C19*C22</f>
        <v>391.12714581403799</v>
      </c>
      <c r="D23" s="10">
        <f>D19*D22</f>
        <v>-605.71670248450425</v>
      </c>
      <c r="E23" s="10">
        <f t="shared" ref="E23:J23" si="13">E19*E22</f>
        <v>351.73880120060682</v>
      </c>
      <c r="F23" s="10">
        <f t="shared" si="13"/>
        <v>1895.564928025982</v>
      </c>
      <c r="G23" s="10">
        <f t="shared" si="13"/>
        <v>460.47100644915946</v>
      </c>
      <c r="H23" s="10">
        <f t="shared" si="13"/>
        <v>-277.47523283645916</v>
      </c>
      <c r="I23" s="10">
        <f t="shared" si="13"/>
        <v>1979.6024816195338</v>
      </c>
      <c r="J23" s="10">
        <f t="shared" si="13"/>
        <v>711.08544936936471</v>
      </c>
      <c r="O23" s="8"/>
    </row>
    <row r="24" spans="1:15" x14ac:dyDescent="0.2">
      <c r="O24" s="8"/>
    </row>
    <row r="25" spans="1:15" x14ac:dyDescent="0.2">
      <c r="I25" s="1"/>
      <c r="L25" t="s">
        <v>92</v>
      </c>
      <c r="M25">
        <f>M22/M18</f>
        <v>34.081896610829112</v>
      </c>
      <c r="O25" s="8"/>
    </row>
    <row r="26" spans="1:15" x14ac:dyDescent="0.2">
      <c r="A26" s="8"/>
      <c r="B26" s="8"/>
      <c r="C26" s="8"/>
      <c r="D26" s="8"/>
      <c r="E26" s="8"/>
      <c r="F26" s="8"/>
      <c r="G26" s="8"/>
      <c r="H26" s="8"/>
      <c r="I26" s="8"/>
      <c r="J26" s="8"/>
      <c r="K26" s="8"/>
      <c r="L26" s="8"/>
      <c r="M26" s="8"/>
      <c r="N26" s="8"/>
      <c r="O26" s="8"/>
    </row>
    <row r="27" spans="1:15" x14ac:dyDescent="0.2">
      <c r="A27" t="s">
        <v>93</v>
      </c>
      <c r="I27" s="1"/>
    </row>
    <row r="29" spans="1:15" x14ac:dyDescent="0.2">
      <c r="A29" s="11"/>
      <c r="B29" s="11" t="s">
        <v>7</v>
      </c>
      <c r="C29" s="11" t="s">
        <v>8</v>
      </c>
      <c r="D29" s="11" t="s">
        <v>9</v>
      </c>
      <c r="E29" s="11" t="s">
        <v>10</v>
      </c>
      <c r="F29" s="11" t="s">
        <v>11</v>
      </c>
      <c r="G29" s="11" t="s">
        <v>12</v>
      </c>
      <c r="H29" s="11" t="s">
        <v>13</v>
      </c>
      <c r="I29" s="11" t="s">
        <v>14</v>
      </c>
      <c r="J29" s="11" t="s">
        <v>15</v>
      </c>
      <c r="K29" s="11"/>
      <c r="L29" s="11"/>
      <c r="M29" s="11"/>
    </row>
    <row r="30" spans="1:15" x14ac:dyDescent="0.2">
      <c r="A30" s="11" t="s">
        <v>7</v>
      </c>
      <c r="B30" s="33">
        <f>Week1!C35</f>
        <v>9969</v>
      </c>
      <c r="C30" s="33">
        <f>Week1!D35</f>
        <v>9980</v>
      </c>
      <c r="D30" s="33">
        <f>Week1!E35</f>
        <v>9950</v>
      </c>
      <c r="E30" s="33">
        <f>Week1!F35</f>
        <v>9968</v>
      </c>
      <c r="F30" s="33">
        <f>Week1!G35</f>
        <v>9984</v>
      </c>
      <c r="G30" s="33">
        <f>Week1!H35</f>
        <v>10015</v>
      </c>
      <c r="H30" s="33">
        <f>Week1!I35</f>
        <v>10010.700000000001</v>
      </c>
      <c r="I30" s="33">
        <f>Week1!J35</f>
        <v>10005.4</v>
      </c>
      <c r="J30" s="33">
        <f>Week1!K35</f>
        <v>9984</v>
      </c>
      <c r="K30" s="11"/>
      <c r="L30" s="11"/>
      <c r="M30" s="11"/>
    </row>
    <row r="31" spans="1:15" x14ac:dyDescent="0.2">
      <c r="A31" s="11" t="s">
        <v>8</v>
      </c>
      <c r="B31" s="33"/>
      <c r="C31" s="33">
        <f>Week2!E33</f>
        <v>9946.2199999999993</v>
      </c>
      <c r="D31" s="33">
        <f>Week2!F33</f>
        <v>9958.61</v>
      </c>
      <c r="E31" s="33">
        <f>Week2!G33</f>
        <v>8825.81</v>
      </c>
      <c r="F31" s="33">
        <f>Week2!H33</f>
        <v>8544.3799999999992</v>
      </c>
      <c r="G31" s="33">
        <f>Week2!I33</f>
        <v>7898.92</v>
      </c>
      <c r="H31" s="33">
        <f>Week2!J33</f>
        <v>7616.9</v>
      </c>
      <c r="I31" s="33">
        <f>Week2!K33</f>
        <v>8567.3900000000012</v>
      </c>
      <c r="J31" s="33">
        <f>Week2!L33</f>
        <v>9268.31</v>
      </c>
      <c r="K31" s="11"/>
      <c r="L31" s="11"/>
      <c r="M31" s="11"/>
    </row>
    <row r="32" spans="1:15" x14ac:dyDescent="0.2">
      <c r="A32" s="11" t="s">
        <v>9</v>
      </c>
      <c r="B32" s="33"/>
      <c r="C32" s="33"/>
      <c r="D32" s="33">
        <f>Week3!F41</f>
        <v>9990.39</v>
      </c>
      <c r="E32" s="33">
        <f ca="1">Week3!G41</f>
        <v>9787.77</v>
      </c>
      <c r="F32" s="33">
        <f ca="1">Week3!H41</f>
        <v>9180.5499999999993</v>
      </c>
      <c r="G32" s="33">
        <f ca="1">Week3!I41</f>
        <v>9328.6999999999989</v>
      </c>
      <c r="H32" s="33">
        <f ca="1">Week3!J41</f>
        <v>9279.8000000000011</v>
      </c>
      <c r="I32" s="33">
        <f>Week3!K41</f>
        <v>8995.93</v>
      </c>
      <c r="J32" s="33">
        <f ca="1">Week3!L41</f>
        <v>8966</v>
      </c>
      <c r="K32" s="11"/>
      <c r="L32" s="11"/>
      <c r="M32" s="11"/>
    </row>
    <row r="33" spans="1:13" x14ac:dyDescent="0.2">
      <c r="A33" s="11" t="s">
        <v>10</v>
      </c>
      <c r="B33" s="33"/>
      <c r="C33" s="33"/>
      <c r="D33" s="33"/>
      <c r="E33" s="33">
        <f ca="1">Week4!G36</f>
        <v>9997.0300000000007</v>
      </c>
      <c r="F33" s="33">
        <f ca="1">Week4!H36</f>
        <v>9695.6200000000008</v>
      </c>
      <c r="G33" s="33">
        <f ca="1">Week4!I36</f>
        <v>8738.85</v>
      </c>
      <c r="H33" s="33">
        <f ca="1">Week4!J36</f>
        <v>8939.2699999999986</v>
      </c>
      <c r="I33" s="33">
        <f ca="1">Week4!K36</f>
        <v>8979.4</v>
      </c>
      <c r="J33" s="33">
        <f ca="1">Week4!L36</f>
        <v>9134.7099999999991</v>
      </c>
      <c r="K33" s="11"/>
      <c r="L33" s="11"/>
      <c r="M33" s="11"/>
    </row>
    <row r="34" spans="1:13" x14ac:dyDescent="0.2">
      <c r="A34" s="11" t="s">
        <v>11</v>
      </c>
      <c r="B34" s="33"/>
      <c r="C34" s="33"/>
      <c r="D34" s="33"/>
      <c r="E34" s="33"/>
      <c r="F34" s="33">
        <f ca="1">Week5!H46</f>
        <v>10000</v>
      </c>
      <c r="G34" s="33">
        <f ca="1">Week5!I46</f>
        <v>9679.4359039999981</v>
      </c>
      <c r="H34" s="33">
        <f ca="1">Week5!J46</f>
        <v>9026.6861151327957</v>
      </c>
      <c r="I34" s="33">
        <f ca="1">Week5!K46</f>
        <v>9271.1061082805882</v>
      </c>
      <c r="J34" s="33">
        <f ca="1">Week5!L46</f>
        <v>11197.546108275794</v>
      </c>
      <c r="K34" s="11"/>
      <c r="L34" s="11"/>
      <c r="M34" s="11"/>
    </row>
    <row r="35" spans="1:13" x14ac:dyDescent="0.2">
      <c r="A35" s="11" t="s">
        <v>12</v>
      </c>
      <c r="B35" s="33"/>
      <c r="C35" s="33"/>
      <c r="D35" s="33"/>
      <c r="E35" s="33"/>
      <c r="F35" s="33"/>
      <c r="G35" s="33">
        <f ca="1">Week6!I45</f>
        <v>10000</v>
      </c>
      <c r="H35" s="33">
        <f ca="1">Week6!J45</f>
        <v>8767.5939579999977</v>
      </c>
      <c r="I35" s="33">
        <f ca="1">Week6!K45</f>
        <v>10449.858125770597</v>
      </c>
      <c r="J35" s="33">
        <f ca="1">Week6!L45</f>
        <v>11608.372286688038</v>
      </c>
      <c r="K35" s="11"/>
      <c r="L35" s="11"/>
      <c r="M35" s="11"/>
    </row>
    <row r="36" spans="1:13" x14ac:dyDescent="0.2">
      <c r="A36" s="11" t="s">
        <v>13</v>
      </c>
      <c r="B36" s="33"/>
      <c r="C36" s="33"/>
      <c r="D36" s="33"/>
      <c r="E36" s="33"/>
      <c r="F36" s="33"/>
      <c r="G36" s="33"/>
      <c r="H36" s="33">
        <f>Week7!J34</f>
        <v>9955.5300000000007</v>
      </c>
      <c r="I36" s="33">
        <f>Week7!K34</f>
        <v>11478.26</v>
      </c>
      <c r="J36" s="33">
        <f ca="1">Week7!L34</f>
        <v>11100.434999999999</v>
      </c>
      <c r="K36" s="11"/>
      <c r="L36" s="11"/>
      <c r="M36" s="11"/>
    </row>
    <row r="37" spans="1:13" x14ac:dyDescent="0.2">
      <c r="A37" s="11" t="s">
        <v>14</v>
      </c>
      <c r="B37" s="33"/>
      <c r="C37" s="33"/>
      <c r="D37" s="33"/>
      <c r="E37" s="33"/>
      <c r="F37" s="33"/>
      <c r="G37" s="33"/>
      <c r="H37" s="33"/>
      <c r="I37" s="33">
        <f ca="1">Week8!K32</f>
        <v>9964.93</v>
      </c>
      <c r="J37" s="33">
        <f ca="1">Week8!L32</f>
        <v>10066.960000000001</v>
      </c>
      <c r="K37" s="11"/>
      <c r="L37" s="11"/>
      <c r="M37" s="11"/>
    </row>
    <row r="38" spans="1:13" x14ac:dyDescent="0.2">
      <c r="A38" s="11" t="s">
        <v>81</v>
      </c>
      <c r="B38" s="11"/>
      <c r="C38" s="16">
        <f>C31+B40</f>
        <v>19915.22</v>
      </c>
      <c r="D38" s="16">
        <f>D32+C40</f>
        <v>29916.61</v>
      </c>
      <c r="E38" s="16">
        <f ca="1">E33+D40</f>
        <v>39896.03</v>
      </c>
      <c r="F38" s="16">
        <f ca="1">F34+E40</f>
        <v>48578.61</v>
      </c>
      <c r="G38" s="16">
        <f ca="1">G35+F40</f>
        <v>57404.549999999996</v>
      </c>
      <c r="H38" s="16">
        <f ca="1">H36+G40</f>
        <v>65616.435903999998</v>
      </c>
      <c r="I38" s="16">
        <f ca="1">I37+H40</f>
        <v>73561.410073132793</v>
      </c>
      <c r="J38" s="16">
        <f ca="1">I38</f>
        <v>73561.410073132793</v>
      </c>
      <c r="K38" s="11"/>
      <c r="L38" s="11"/>
      <c r="M38" s="11"/>
    </row>
    <row r="39" spans="1:13" x14ac:dyDescent="0.2">
      <c r="A39" s="11"/>
      <c r="B39" s="11"/>
      <c r="C39" s="11"/>
      <c r="D39" s="11"/>
      <c r="E39" s="11"/>
      <c r="F39" s="11"/>
      <c r="G39" s="11"/>
      <c r="H39" s="11"/>
      <c r="I39" s="11"/>
      <c r="J39" s="11"/>
      <c r="K39" s="11"/>
      <c r="L39" s="11"/>
      <c r="M39" s="11"/>
    </row>
    <row r="40" spans="1:13" x14ac:dyDescent="0.2">
      <c r="A40" s="11" t="s">
        <v>64</v>
      </c>
      <c r="B40" s="16">
        <f>SUM(B30:B37)</f>
        <v>9969</v>
      </c>
      <c r="C40" s="16">
        <f t="shared" ref="C40:J40" si="14">SUM(C30:C37)</f>
        <v>19926.22</v>
      </c>
      <c r="D40" s="16">
        <f t="shared" si="14"/>
        <v>29899</v>
      </c>
      <c r="E40" s="16">
        <f t="shared" ca="1" si="14"/>
        <v>38578.61</v>
      </c>
      <c r="F40" s="16">
        <f t="shared" ca="1" si="14"/>
        <v>47404.549999999996</v>
      </c>
      <c r="G40" s="16">
        <f t="shared" ca="1" si="14"/>
        <v>55660.905903999992</v>
      </c>
      <c r="H40" s="16">
        <f t="shared" ca="1" si="14"/>
        <v>63596.480073132792</v>
      </c>
      <c r="I40" s="16">
        <f t="shared" ca="1" si="14"/>
        <v>77712.274234051176</v>
      </c>
      <c r="J40" s="16">
        <f t="shared" ca="1" si="14"/>
        <v>81326.333394963833</v>
      </c>
      <c r="K40" s="11"/>
      <c r="L40" s="11"/>
      <c r="M40" s="11"/>
    </row>
    <row r="41" spans="1:13" x14ac:dyDescent="0.2">
      <c r="A41" s="11"/>
      <c r="B41" s="11"/>
      <c r="C41" s="11"/>
      <c r="D41" s="11"/>
      <c r="E41" s="11"/>
      <c r="F41" s="11"/>
      <c r="G41" s="11"/>
      <c r="H41" s="11"/>
      <c r="I41" s="11"/>
      <c r="J41" s="11"/>
      <c r="K41" s="11"/>
      <c r="L41" s="11"/>
      <c r="M41" s="11"/>
    </row>
    <row r="42" spans="1:13" x14ac:dyDescent="0.2">
      <c r="A42" s="11" t="s">
        <v>82</v>
      </c>
      <c r="B42" s="11"/>
      <c r="C42" s="16">
        <f>C40-C38</f>
        <v>11</v>
      </c>
      <c r="D42" s="16">
        <f>D43-C42</f>
        <v>-28.610000000000582</v>
      </c>
      <c r="E42" s="16">
        <f t="shared" ref="E42:J42" ca="1" si="15">E43-D42</f>
        <v>-1288.8099999999977</v>
      </c>
      <c r="F42" s="16">
        <f t="shared" ca="1" si="15"/>
        <v>114.74999999999272</v>
      </c>
      <c r="G42" s="16">
        <f t="shared" ca="1" si="15"/>
        <v>-1858.3940959999964</v>
      </c>
      <c r="H42" s="16">
        <f t="shared" ca="1" si="15"/>
        <v>-161.56173486720945</v>
      </c>
      <c r="I42" s="16">
        <f t="shared" ca="1" si="15"/>
        <v>4312.4258957855927</v>
      </c>
      <c r="J42" s="16">
        <f t="shared" ca="1" si="15"/>
        <v>3452.4974260454474</v>
      </c>
      <c r="K42" s="11"/>
      <c r="L42" s="11"/>
      <c r="M42" s="11"/>
    </row>
    <row r="43" spans="1:13" x14ac:dyDescent="0.2">
      <c r="A43" s="11" t="s">
        <v>83</v>
      </c>
      <c r="B43" s="11"/>
      <c r="C43" s="16">
        <f>C40-C38</f>
        <v>11</v>
      </c>
      <c r="D43" s="16">
        <f t="shared" ref="D43:J43" si="16">D40-D38</f>
        <v>-17.610000000000582</v>
      </c>
      <c r="E43" s="16">
        <f t="shared" ca="1" si="16"/>
        <v>-1317.4199999999983</v>
      </c>
      <c r="F43" s="16">
        <f t="shared" ca="1" si="16"/>
        <v>-1174.0600000000049</v>
      </c>
      <c r="G43" s="16">
        <f t="shared" ca="1" si="16"/>
        <v>-1743.6440960000036</v>
      </c>
      <c r="H43" s="16">
        <f t="shared" ca="1" si="16"/>
        <v>-2019.9558308672058</v>
      </c>
      <c r="I43" s="16">
        <f t="shared" ca="1" si="16"/>
        <v>4150.8641609183833</v>
      </c>
      <c r="J43" s="16">
        <f t="shared" ca="1" si="16"/>
        <v>7764.9233218310401</v>
      </c>
      <c r="K43" s="11"/>
      <c r="L43" s="11"/>
      <c r="M43" s="11"/>
    </row>
    <row r="44" spans="1:13" x14ac:dyDescent="0.2">
      <c r="A44" s="11"/>
      <c r="B44" s="11"/>
      <c r="C44" s="11"/>
      <c r="D44" s="11"/>
      <c r="E44" s="11"/>
      <c r="F44" s="11"/>
      <c r="G44" s="11"/>
      <c r="H44" s="11"/>
      <c r="I44" s="11"/>
      <c r="J44" s="11"/>
      <c r="K44" s="11"/>
      <c r="L44" s="11"/>
      <c r="M44" s="11"/>
    </row>
    <row r="45" spans="1:13" x14ac:dyDescent="0.2">
      <c r="A45" s="11" t="s">
        <v>84</v>
      </c>
      <c r="B45" s="11"/>
      <c r="C45" s="37">
        <f>C42/C38</f>
        <v>5.5234137508900221E-4</v>
      </c>
      <c r="D45" s="37">
        <f t="shared" ref="D45:J45" si="17">D42/D38</f>
        <v>-9.5632493120044622E-4</v>
      </c>
      <c r="E45" s="37">
        <f t="shared" ca="1" si="17"/>
        <v>-3.2304216735349299E-2</v>
      </c>
      <c r="F45" s="37">
        <f t="shared" ca="1" si="17"/>
        <v>2.3621507490640989E-3</v>
      </c>
      <c r="G45" s="37">
        <f t="shared" ca="1" si="17"/>
        <v>-3.2373637560088819E-2</v>
      </c>
      <c r="H45" s="37">
        <f t="shared" ca="1" si="17"/>
        <v>-2.4622144229775301E-3</v>
      </c>
      <c r="I45" s="37">
        <f t="shared" ca="1" si="17"/>
        <v>5.8623480592586437E-2</v>
      </c>
      <c r="J45" s="37">
        <f t="shared" ca="1" si="17"/>
        <v>4.693354059707483E-2</v>
      </c>
      <c r="K45" s="11"/>
      <c r="L45" s="11" t="s">
        <v>85</v>
      </c>
      <c r="M45" s="19">
        <f ca="1">VAR(C45:J45)</f>
        <v>1.077168235132921E-3</v>
      </c>
    </row>
    <row r="46" spans="1:13" x14ac:dyDescent="0.2">
      <c r="A46" s="11" t="s">
        <v>86</v>
      </c>
      <c r="B46" s="11"/>
      <c r="C46" s="16">
        <f ca="1">AVERAGE($B$40:$J$40)</f>
        <v>47119.263734016422</v>
      </c>
      <c r="D46" s="16">
        <f t="shared" ref="D46:J46" ca="1" si="18">AVERAGE($B$40:$J$40)</f>
        <v>47119.263734016422</v>
      </c>
      <c r="E46" s="16">
        <f t="shared" ca="1" si="18"/>
        <v>47119.263734016422</v>
      </c>
      <c r="F46" s="16">
        <f t="shared" ca="1" si="18"/>
        <v>47119.263734016422</v>
      </c>
      <c r="G46" s="16">
        <f t="shared" ca="1" si="18"/>
        <v>47119.263734016422</v>
      </c>
      <c r="H46" s="16">
        <f t="shared" ca="1" si="18"/>
        <v>47119.263734016422</v>
      </c>
      <c r="I46" s="16">
        <f t="shared" ca="1" si="18"/>
        <v>47119.263734016422</v>
      </c>
      <c r="J46" s="16">
        <f t="shared" ca="1" si="18"/>
        <v>47119.263734016422</v>
      </c>
      <c r="K46" s="11"/>
      <c r="L46" s="11"/>
      <c r="M46" s="11"/>
    </row>
    <row r="47" spans="1:13" x14ac:dyDescent="0.2">
      <c r="A47" s="11" t="s">
        <v>87</v>
      </c>
      <c r="B47" s="11"/>
      <c r="C47" s="16">
        <f ca="1">C46*C45</f>
        <v>26.025918924027984</v>
      </c>
      <c r="D47" s="16">
        <f t="shared" ref="D47:J47" ca="1" si="19">D46*D45</f>
        <v>-45.061326648648937</v>
      </c>
      <c r="E47" s="16">
        <f t="shared" ca="1" si="19"/>
        <v>-1522.1509080737505</v>
      </c>
      <c r="F47" s="16">
        <f t="shared" ca="1" si="19"/>
        <v>111.30280412465572</v>
      </c>
      <c r="G47" s="16">
        <f t="shared" ca="1" si="19"/>
        <v>-1525.4219662232849</v>
      </c>
      <c r="H47" s="16">
        <f t="shared" ca="1" si="19"/>
        <v>-116.0177307659773</v>
      </c>
      <c r="I47" s="16">
        <f t="shared" ca="1" si="19"/>
        <v>2762.2952430480736</v>
      </c>
      <c r="J47" s="16">
        <f t="shared" ca="1" si="19"/>
        <v>2211.4738773647355</v>
      </c>
      <c r="K47" s="11"/>
      <c r="L47" s="11"/>
      <c r="M47" s="11"/>
    </row>
    <row r="48" spans="1:13" x14ac:dyDescent="0.2">
      <c r="A48" s="11" t="s">
        <v>88</v>
      </c>
      <c r="B48" s="11"/>
      <c r="C48" s="38">
        <f>(1.035)^(1/52)-1</f>
        <v>6.6178478139500285E-4</v>
      </c>
      <c r="D48" s="38">
        <f t="shared" ref="D48:J48" si="20">(1.035)^(1/52)-1</f>
        <v>6.6178478139500285E-4</v>
      </c>
      <c r="E48" s="38">
        <f t="shared" si="20"/>
        <v>6.6178478139500285E-4</v>
      </c>
      <c r="F48" s="38">
        <f t="shared" si="20"/>
        <v>6.6178478139500285E-4</v>
      </c>
      <c r="G48" s="38">
        <f t="shared" si="20"/>
        <v>6.6178478139500285E-4</v>
      </c>
      <c r="H48" s="38">
        <f t="shared" si="20"/>
        <v>6.6178478139500285E-4</v>
      </c>
      <c r="I48" s="38">
        <f t="shared" si="20"/>
        <v>6.6178478139500285E-4</v>
      </c>
      <c r="J48" s="38">
        <f t="shared" si="20"/>
        <v>6.6178478139500285E-4</v>
      </c>
      <c r="K48" s="11"/>
      <c r="L48" s="11"/>
      <c r="M48" s="11"/>
    </row>
    <row r="49" spans="1:13" x14ac:dyDescent="0.2">
      <c r="A49" s="11" t="s">
        <v>89</v>
      </c>
      <c r="B49" s="11"/>
      <c r="C49" s="38">
        <f>C45-C48</f>
        <v>-1.0944340630600065E-4</v>
      </c>
      <c r="D49" s="38">
        <f t="shared" ref="D49:J49" si="21">D45-D48</f>
        <v>-1.6181097125954492E-3</v>
      </c>
      <c r="E49" s="38">
        <f t="shared" ca="1" si="21"/>
        <v>-3.2966001516744302E-2</v>
      </c>
      <c r="F49" s="38">
        <f t="shared" ca="1" si="21"/>
        <v>1.700365967669096E-3</v>
      </c>
      <c r="G49" s="38">
        <f t="shared" ca="1" si="21"/>
        <v>-3.3035422341483822E-2</v>
      </c>
      <c r="H49" s="38">
        <f t="shared" ca="1" si="21"/>
        <v>-3.1239992043725329E-3</v>
      </c>
      <c r="I49" s="38">
        <f t="shared" ca="1" si="21"/>
        <v>5.7961695811191434E-2</v>
      </c>
      <c r="J49" s="38">
        <f t="shared" ca="1" si="21"/>
        <v>4.6271755815679827E-2</v>
      </c>
      <c r="K49" s="11"/>
      <c r="L49" s="11" t="s">
        <v>90</v>
      </c>
      <c r="M49" s="13">
        <f ca="1">AVERAGE(C49:J49)</f>
        <v>4.3851051766297814E-3</v>
      </c>
    </row>
    <row r="50" spans="1:13" x14ac:dyDescent="0.2">
      <c r="A50" s="11" t="s">
        <v>91</v>
      </c>
      <c r="B50" s="11"/>
      <c r="C50" s="16">
        <f ca="1">C49*C46</f>
        <v>-5.1568927256815602</v>
      </c>
      <c r="D50" s="16">
        <f t="shared" ref="D50:J50" ca="1" si="22">D49*D46</f>
        <v>-76.244138298358479</v>
      </c>
      <c r="E50" s="16">
        <f t="shared" ca="1" si="22"/>
        <v>-1553.33371972346</v>
      </c>
      <c r="F50" s="16">
        <f t="shared" ca="1" si="22"/>
        <v>80.119992474946173</v>
      </c>
      <c r="G50" s="16">
        <f t="shared" ca="1" si="22"/>
        <v>-1556.6047778729944</v>
      </c>
      <c r="H50" s="16">
        <f t="shared" ca="1" si="22"/>
        <v>-147.20054241568684</v>
      </c>
      <c r="I50" s="16">
        <f t="shared" ca="1" si="22"/>
        <v>2731.1124313983642</v>
      </c>
      <c r="J50" s="16">
        <f t="shared" ca="1" si="22"/>
        <v>2180.291065715026</v>
      </c>
      <c r="K50" s="11"/>
      <c r="L50" s="11"/>
      <c r="M50" s="11"/>
    </row>
    <row r="51" spans="1:13" x14ac:dyDescent="0.2">
      <c r="A51" s="11"/>
      <c r="B51" s="11"/>
      <c r="C51" s="11"/>
      <c r="D51" s="11"/>
      <c r="E51" s="11"/>
      <c r="F51" s="11"/>
      <c r="G51" s="11"/>
      <c r="H51" s="11"/>
      <c r="I51" s="11"/>
      <c r="J51" s="11"/>
      <c r="K51" s="11"/>
      <c r="L51" s="11"/>
      <c r="M51" s="11"/>
    </row>
    <row r="52" spans="1:13" x14ac:dyDescent="0.2">
      <c r="A52" s="11"/>
      <c r="B52" s="11"/>
      <c r="C52" s="11"/>
      <c r="D52" s="11"/>
      <c r="E52" s="11"/>
      <c r="F52" s="11"/>
      <c r="G52" s="11"/>
      <c r="H52" s="11"/>
      <c r="I52" s="11"/>
      <c r="J52" s="11"/>
      <c r="K52" s="11"/>
      <c r="L52" s="11" t="s">
        <v>92</v>
      </c>
      <c r="M52" s="39">
        <f ca="1">M49/M45</f>
        <v>4.0709566376032855</v>
      </c>
    </row>
    <row r="53" spans="1:13" x14ac:dyDescent="0.2">
      <c r="L53" s="8"/>
      <c r="M53" s="8"/>
    </row>
  </sheetData>
  <sortState xmlns:xlrd2="http://schemas.microsoft.com/office/spreadsheetml/2017/richdata2" ref="J28:K37">
    <sortCondition ref="K28:K37"/>
  </sortState>
  <conditionalFormatting sqref="C19">
    <cfRule type="cellIs" dxfId="11" priority="1" operator="lessThan">
      <formula>0</formula>
    </cfRule>
    <cfRule type="cellIs" dxfId="10" priority="2" operator="greaterThan">
      <formula>0</formula>
    </cfRule>
  </conditionalFormatting>
  <conditionalFormatting sqref="C23:J23">
    <cfRule type="cellIs" dxfId="9" priority="3" operator="lessThan">
      <formula>0</formula>
    </cfRule>
    <cfRule type="cellIs" dxfId="8" priority="4" operator="greaterThan">
      <formula>0</formula>
    </cfRule>
  </conditionalFormatting>
  <conditionalFormatting sqref="E18:E20 E19:J20">
    <cfRule type="cellIs" dxfId="7" priority="15" operator="lessThan">
      <formula>0</formula>
    </cfRule>
    <cfRule type="cellIs" dxfId="6" priority="16" operator="greaterThan">
      <formula>0</formula>
    </cfRule>
  </conditionalFormatting>
  <conditionalFormatting sqref="E15:F16 F16:J16">
    <cfRule type="cellIs" dxfId="5" priority="11" operator="lessThan">
      <formula>0</formula>
    </cfRule>
    <cfRule type="cellIs" dxfId="4" priority="12" operator="greaterThan">
      <formula>0</formula>
    </cfRule>
  </conditionalFormatting>
  <conditionalFormatting sqref="G14:G15 D14:D20">
    <cfRule type="cellIs" dxfId="3" priority="23" operator="lessThan">
      <formula>0</formula>
    </cfRule>
    <cfRule type="cellIs" dxfId="2" priority="24" operator="greaterThan">
      <formula>0</formula>
    </cfRule>
  </conditionalFormatting>
  <conditionalFormatting sqref="H15:J15">
    <cfRule type="cellIs" dxfId="1" priority="5" operator="lessThan">
      <formula>0</formula>
    </cfRule>
    <cfRule type="cellIs" dxfId="0" priority="6"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Week1</vt:lpstr>
      <vt:lpstr>Week2</vt:lpstr>
      <vt:lpstr>Week3</vt:lpstr>
      <vt:lpstr>Week4</vt:lpstr>
      <vt:lpstr>Week5</vt:lpstr>
      <vt:lpstr>Week6</vt:lpstr>
      <vt:lpstr>Week7</vt:lpstr>
      <vt:lpstr>Week8</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Sevilla</dc:creator>
  <cp:keywords/>
  <dc:description/>
  <cp:lastModifiedBy>Om Sanan</cp:lastModifiedBy>
  <cp:revision/>
  <dcterms:created xsi:type="dcterms:W3CDTF">2023-01-05T01:21:31Z</dcterms:created>
  <dcterms:modified xsi:type="dcterms:W3CDTF">2026-03-10T21:09:50Z</dcterms:modified>
  <cp:category/>
  <cp:contentStatus/>
</cp:coreProperties>
</file>